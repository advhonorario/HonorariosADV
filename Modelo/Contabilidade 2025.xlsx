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aude Code\HonorariosADV\"/>
    </mc:Choice>
  </mc:AlternateContent>
  <xr:revisionPtr revIDLastSave="0" documentId="8_{C90714A5-2CDA-4012-8ED9-9C0F048842A3}" xr6:coauthVersionLast="47" xr6:coauthVersionMax="47" xr10:uidLastSave="{00000000-0000-0000-0000-000000000000}"/>
  <bookViews>
    <workbookView xWindow="-120" yWindow="-120" windowWidth="20730" windowHeight="11160" xr2:uid="{24DFEA81-2E82-4CCB-A379-336DC8C047B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40" i="1" l="1"/>
  <c r="F240" i="1"/>
  <c r="G220" i="1"/>
  <c r="F205" i="1"/>
  <c r="G205" i="1"/>
  <c r="G184" i="1"/>
  <c r="F184" i="1"/>
  <c r="E172" i="1"/>
  <c r="F132" i="1"/>
  <c r="B3" i="1"/>
  <c r="H3" i="1"/>
  <c r="F3" i="1"/>
  <c r="D3" i="1"/>
  <c r="C3" i="1"/>
  <c r="F172" i="1" l="1"/>
  <c r="G172" i="1" s="1"/>
  <c r="E205" i="1"/>
  <c r="E240" i="1"/>
  <c r="I240" i="1" s="1"/>
  <c r="E132" i="1"/>
  <c r="G132" i="1" s="1"/>
  <c r="E184" i="1"/>
  <c r="H184" i="1" s="1"/>
  <c r="E220" i="1"/>
  <c r="E3" i="1"/>
  <c r="I3" i="1" s="1"/>
  <c r="F220" i="1"/>
  <c r="H220" i="1" l="1"/>
</calcChain>
</file>

<file path=xl/sharedStrings.xml><?xml version="1.0" encoding="utf-8"?>
<sst xmlns="http://schemas.openxmlformats.org/spreadsheetml/2006/main" count="905" uniqueCount="468">
  <si>
    <t>Gustavo</t>
  </si>
  <si>
    <t>Lucas</t>
  </si>
  <si>
    <t>João</t>
  </si>
  <si>
    <t>Talyta</t>
  </si>
  <si>
    <t>Paulo Henrique</t>
  </si>
  <si>
    <t>Outros</t>
  </si>
  <si>
    <t>Total escritório</t>
  </si>
  <si>
    <t>Valor total recebido</t>
  </si>
  <si>
    <t xml:space="preserve"> </t>
  </si>
  <si>
    <t xml:space="preserve">Serviços judiciais </t>
  </si>
  <si>
    <t>Cliente</t>
  </si>
  <si>
    <t>Serviço</t>
  </si>
  <si>
    <t xml:space="preserve">Valor cobrado </t>
  </si>
  <si>
    <t>Modo divisão</t>
  </si>
  <si>
    <t>Recebido Gust.</t>
  </si>
  <si>
    <t>Recebido Lucas</t>
  </si>
  <si>
    <t xml:space="preserve">Data de recebimento </t>
  </si>
  <si>
    <t>Observação</t>
  </si>
  <si>
    <t>Maria Alice Horlando</t>
  </si>
  <si>
    <t>exec pensão</t>
  </si>
  <si>
    <t>65% Gustavo e 35% Lucas</t>
  </si>
  <si>
    <t>dez/24, mar, abr, mai</t>
  </si>
  <si>
    <t>pagou R$ 400,00 em 2024</t>
  </si>
  <si>
    <t>Davies Gimenes</t>
  </si>
  <si>
    <t>defesa civel</t>
  </si>
  <si>
    <t>dez/24, fev, mar</t>
  </si>
  <si>
    <t>100% nesta tabela</t>
  </si>
  <si>
    <t>Lais Miclos</t>
  </si>
  <si>
    <t>ação de família</t>
  </si>
  <si>
    <t>40% Gustavo e 60% Lucas</t>
  </si>
  <si>
    <t>dez/24, mar, set, out, nov dez</t>
  </si>
  <si>
    <t>recebemos R$ 832,00 em 2024</t>
  </si>
  <si>
    <t>Borival Tavares Silveira</t>
  </si>
  <si>
    <t>divórcio</t>
  </si>
  <si>
    <t>recebemos R$ 1.000,00 em 2024</t>
  </si>
  <si>
    <t>Luana da Cunha Alves</t>
  </si>
  <si>
    <t>ação de familia</t>
  </si>
  <si>
    <t>dez/2024, mar</t>
  </si>
  <si>
    <t>recebemos R$ 200,00 em 2024</t>
  </si>
  <si>
    <t>André Prado</t>
  </si>
  <si>
    <t>ação cobrança juizado</t>
  </si>
  <si>
    <t>30% = R$ 1.114,08</t>
  </si>
  <si>
    <t>jan</t>
  </si>
  <si>
    <t xml:space="preserve">integralmente recebido </t>
  </si>
  <si>
    <t>Francisca Erica de Sousa</t>
  </si>
  <si>
    <t>alimentos</t>
  </si>
  <si>
    <t>jan, fev, mar, abr, mai, jun, jul, ago, set</t>
  </si>
  <si>
    <t>recebemos 350,00 em 2024.</t>
  </si>
  <si>
    <t>Renata Alves de Oliveira</t>
  </si>
  <si>
    <t>jan, fev, mar, abr, mai, jun, jul, ago</t>
  </si>
  <si>
    <t>recebemos R$ 7.000,00 em 2024</t>
  </si>
  <si>
    <t>Apolissandra Polly</t>
  </si>
  <si>
    <t>30% = R$ 250,00</t>
  </si>
  <si>
    <t>esse não entra no honorario contratual de arbitramento</t>
  </si>
  <si>
    <t>Lidia e Vitória</t>
  </si>
  <si>
    <t>ação familia</t>
  </si>
  <si>
    <t>R$ 4500,00 + 20% prov eco</t>
  </si>
  <si>
    <t>jan, fev, abr, jun, out</t>
  </si>
  <si>
    <t>pagou R$ 1.300,00 em 2024</t>
  </si>
  <si>
    <t>Alice Trindade</t>
  </si>
  <si>
    <t>exec alimentos</t>
  </si>
  <si>
    <t>Residual = R$ 6150,00</t>
  </si>
  <si>
    <t>70% Gustavo 30% Lucas</t>
  </si>
  <si>
    <t>Tania e Telma</t>
  </si>
  <si>
    <t>Usucapiao</t>
  </si>
  <si>
    <t>jan, jun, ago</t>
  </si>
  <si>
    <t>recebemos R$ 1.500,00 em 2024</t>
  </si>
  <si>
    <t>Aparecida Hipolito</t>
  </si>
  <si>
    <t>exec alugueis</t>
  </si>
  <si>
    <t>R$ 1.500,00 sucumb + 20% ctr R$ 800,00</t>
  </si>
  <si>
    <t>jan, fev</t>
  </si>
  <si>
    <t>Daniely Gomes</t>
  </si>
  <si>
    <t>arb. e exec alimentos</t>
  </si>
  <si>
    <t>jan, mar, abr, mai, jun, jul, ago</t>
  </si>
  <si>
    <t>Solanja</t>
  </si>
  <si>
    <t>defesa rev alimentos</t>
  </si>
  <si>
    <t>fev, maio</t>
  </si>
  <si>
    <t>integralmente pago</t>
  </si>
  <si>
    <t>Maciel</t>
  </si>
  <si>
    <t>divorcio</t>
  </si>
  <si>
    <t>fev, mar, abr, mai, jun</t>
  </si>
  <si>
    <t>Wanderson Duarte</t>
  </si>
  <si>
    <t>exec cheque</t>
  </si>
  <si>
    <t>20% = R$ 300,00</t>
  </si>
  <si>
    <t>fev</t>
  </si>
  <si>
    <t>Fabio Neves PT</t>
  </si>
  <si>
    <t>manifest judicial</t>
  </si>
  <si>
    <t>Nealdo</t>
  </si>
  <si>
    <t xml:space="preserve">ação consumidor </t>
  </si>
  <si>
    <t>30% = R$ 540,00</t>
  </si>
  <si>
    <t>fev, mai, jun, jul</t>
  </si>
  <si>
    <t>Suely TJMG</t>
  </si>
  <si>
    <t>ação cível</t>
  </si>
  <si>
    <t>10% = R$ 7.187,05</t>
  </si>
  <si>
    <t>Daniela Lima</t>
  </si>
  <si>
    <t>alimentos 2025</t>
  </si>
  <si>
    <t>fev, mar, abr, jul, ago, dez</t>
  </si>
  <si>
    <t>exec alimentos prisão</t>
  </si>
  <si>
    <t>30% = R$ 455,00</t>
  </si>
  <si>
    <t>Pedro Batista de Medeiros</t>
  </si>
  <si>
    <t>execução contrato</t>
  </si>
  <si>
    <t>20% = R$ 1.600,00</t>
  </si>
  <si>
    <t>mar, abr, mai, jun, jul, ago, set, out, nov</t>
  </si>
  <si>
    <t>16 parcelas de R$ 500,00</t>
  </si>
  <si>
    <t>Jane Inglaterra</t>
  </si>
  <si>
    <t>mar, jun</t>
  </si>
  <si>
    <t>Bruna Barbosa</t>
  </si>
  <si>
    <t>40% = R$ 200,00</t>
  </si>
  <si>
    <t>mar</t>
  </si>
  <si>
    <t>Luiz Henrique Bellini</t>
  </si>
  <si>
    <t>20% = R$ 400,00</t>
  </si>
  <si>
    <t>mar, abr, mai, jun</t>
  </si>
  <si>
    <t>4 x 100,00</t>
  </si>
  <si>
    <t>Rodrigo Tonet</t>
  </si>
  <si>
    <t>ação civel</t>
  </si>
  <si>
    <t>30% = R$ 8.438,13</t>
  </si>
  <si>
    <t>Kleicy</t>
  </si>
  <si>
    <t>execução alimentos</t>
  </si>
  <si>
    <t>40% = R$ 2.600,00</t>
  </si>
  <si>
    <t>mar, abr, mai, jun, jul, ago, out</t>
  </si>
  <si>
    <t>Larissa Alves</t>
  </si>
  <si>
    <t>ações família</t>
  </si>
  <si>
    <t>abr, mai, jun</t>
  </si>
  <si>
    <t>abril</t>
  </si>
  <si>
    <t>Indiloilia</t>
  </si>
  <si>
    <t>abril, jul</t>
  </si>
  <si>
    <t>Fabio Souza Almeida</t>
  </si>
  <si>
    <t>divorcio consensual</t>
  </si>
  <si>
    <t>abril, maio</t>
  </si>
  <si>
    <t>Keyla Valéria</t>
  </si>
  <si>
    <t>Leidiane e Vanessa</t>
  </si>
  <si>
    <t>inventário</t>
  </si>
  <si>
    <t>10% = R$ 7.500,00 + R$ 777,51</t>
  </si>
  <si>
    <t>Antonio Marcos</t>
  </si>
  <si>
    <t>30% = R$ 15.600,00 + R$ 6.391,25 sucumb</t>
  </si>
  <si>
    <t>Passamos 350,00 para Lilian e Gabriela</t>
  </si>
  <si>
    <t>ação consumidor Katia</t>
  </si>
  <si>
    <t>40% = R$ 1.200,00</t>
  </si>
  <si>
    <t>abril, maio, junho</t>
  </si>
  <si>
    <t>Claudio Claudieres</t>
  </si>
  <si>
    <t>30% + 15% sucumb = R$ 11.806,54</t>
  </si>
  <si>
    <t>Juliana Gomes</t>
  </si>
  <si>
    <t>arbitramento pensão</t>
  </si>
  <si>
    <t>abril, maio, junho, ago, set, out, nov</t>
  </si>
  <si>
    <t xml:space="preserve">Regiane </t>
  </si>
  <si>
    <t>40% = R$ 523,40</t>
  </si>
  <si>
    <t>abr</t>
  </si>
  <si>
    <t>Maximino Moraes</t>
  </si>
  <si>
    <t>defesa execuções TJMT</t>
  </si>
  <si>
    <t>R$ 10.000,00 por ano</t>
  </si>
  <si>
    <t>Cleber Alves</t>
  </si>
  <si>
    <t>abr, maio</t>
  </si>
  <si>
    <t>Rafael Alves</t>
  </si>
  <si>
    <t>desbloqueio valores civel</t>
  </si>
  <si>
    <t>20% = 820,00</t>
  </si>
  <si>
    <t>mai</t>
  </si>
  <si>
    <t>Juliana Specalski</t>
  </si>
  <si>
    <t>20% = R$ 2.000,00</t>
  </si>
  <si>
    <t>mai, jun, jul, ago, set, out, nov</t>
  </si>
  <si>
    <t>Erisvaldo</t>
  </si>
  <si>
    <t>ação familia divorcio</t>
  </si>
  <si>
    <t>mai, jun, ago, set, out, nov</t>
  </si>
  <si>
    <t>Kezia irmã Luana</t>
  </si>
  <si>
    <t>ação consumidor</t>
  </si>
  <si>
    <t>R$ 1.000,00 + 30% danos morais</t>
  </si>
  <si>
    <t>desistiu da ação. Cobrei 250,00 pelo atendimento</t>
  </si>
  <si>
    <t>Gustavo Henrique Almeida</t>
  </si>
  <si>
    <t>defesa cível</t>
  </si>
  <si>
    <t>30% desbloqueio = R$ 330,00</t>
  </si>
  <si>
    <t xml:space="preserve">Valdenice </t>
  </si>
  <si>
    <t>Dissol. União estável</t>
  </si>
  <si>
    <t>jun, jul, ago</t>
  </si>
  <si>
    <t>Patryne</t>
  </si>
  <si>
    <t>arb. Alimentos</t>
  </si>
  <si>
    <t>jun, ago, set</t>
  </si>
  <si>
    <t>Guilherme Ramos Barbosa</t>
  </si>
  <si>
    <t>jun</t>
  </si>
  <si>
    <t>Rogério filho Manoel</t>
  </si>
  <si>
    <t xml:space="preserve">30% = </t>
  </si>
  <si>
    <t>jun, jul, ago, set</t>
  </si>
  <si>
    <t>Rodrigo Batista Gomes</t>
  </si>
  <si>
    <t>jun, jul, set</t>
  </si>
  <si>
    <t>Gildásio e Ludimila</t>
  </si>
  <si>
    <t>25% = R$ 11.250,00</t>
  </si>
  <si>
    <t>Patrícia da Silva e Silva</t>
  </si>
  <si>
    <t>30% = R$ 450,00</t>
  </si>
  <si>
    <t>jun, jul</t>
  </si>
  <si>
    <t>Yuslaine</t>
  </si>
  <si>
    <t>Aline Fonseca Barbosa</t>
  </si>
  <si>
    <t>jul</t>
  </si>
  <si>
    <t>audiencia criminal</t>
  </si>
  <si>
    <t xml:space="preserve">Maria de Lourdes </t>
  </si>
  <si>
    <t>Jonas Cardoso</t>
  </si>
  <si>
    <t>jul, ago</t>
  </si>
  <si>
    <t>Eliene fazenda</t>
  </si>
  <si>
    <t>jul, ago, dez</t>
  </si>
  <si>
    <t>Marcia Santos</t>
  </si>
  <si>
    <t>30% = R$ 120,00</t>
  </si>
  <si>
    <t>Juliana Carvalho</t>
  </si>
  <si>
    <t xml:space="preserve">exec pensão </t>
  </si>
  <si>
    <t>verificar anos anteriores</t>
  </si>
  <si>
    <t>Samara</t>
  </si>
  <si>
    <t>divórcio consensual</t>
  </si>
  <si>
    <t>Maria Raimunda</t>
  </si>
  <si>
    <t>30% = 700,00</t>
  </si>
  <si>
    <t>arb pensão</t>
  </si>
  <si>
    <t>jul, set</t>
  </si>
  <si>
    <t>Wenderson TJPR</t>
  </si>
  <si>
    <t>30% = R$ 281,00</t>
  </si>
  <si>
    <t>Tatiane Oliveira</t>
  </si>
  <si>
    <t>30% = R$ 1.224,78</t>
  </si>
  <si>
    <t xml:space="preserve">Mateus Santana </t>
  </si>
  <si>
    <t>exec cível</t>
  </si>
  <si>
    <t>Janiscleia Vieira</t>
  </si>
  <si>
    <t>30% = R$ 1484,00 + R$ 364,50</t>
  </si>
  <si>
    <t>José Carlos tio Wash</t>
  </si>
  <si>
    <t>Fabio Oliveira Costa</t>
  </si>
  <si>
    <t>ago, out, dez</t>
  </si>
  <si>
    <t>Deivistone</t>
  </si>
  <si>
    <t>processo cível</t>
  </si>
  <si>
    <t>ago</t>
  </si>
  <si>
    <t>Silas Silva Souza</t>
  </si>
  <si>
    <t>Hemilly</t>
  </si>
  <si>
    <t>ago, set, out, nov, dez</t>
  </si>
  <si>
    <t>Kalita filha Andreia</t>
  </si>
  <si>
    <t>ago, set</t>
  </si>
  <si>
    <t>Josimar</t>
  </si>
  <si>
    <t>ago, set, out</t>
  </si>
  <si>
    <t>Monica</t>
  </si>
  <si>
    <t>ago, nov</t>
  </si>
  <si>
    <t>Patrícia Pereira de Moares</t>
  </si>
  <si>
    <t>familia</t>
  </si>
  <si>
    <t>R$ 4.000,00 + 20% prov eco</t>
  </si>
  <si>
    <t>set, out</t>
  </si>
  <si>
    <t>Deusiran</t>
  </si>
  <si>
    <t>set, out, nov, dez</t>
  </si>
  <si>
    <t>40% = R$ 480,00</t>
  </si>
  <si>
    <t>set</t>
  </si>
  <si>
    <t>Evando de Souza</t>
  </si>
  <si>
    <t>ação familia TJBA</t>
  </si>
  <si>
    <t>Rejaine</t>
  </si>
  <si>
    <t>ação família</t>
  </si>
  <si>
    <t>25% = R$ 1.134,74</t>
  </si>
  <si>
    <t>Irisnaldo</t>
  </si>
  <si>
    <t>30% = 1200,00</t>
  </si>
  <si>
    <t xml:space="preserve">Elsimaria </t>
  </si>
  <si>
    <t>sucumbenciais</t>
  </si>
  <si>
    <t>Gabriela Alves</t>
  </si>
  <si>
    <t>0% Gustavo, 100% Lucas</t>
  </si>
  <si>
    <t>Eliomar de Oliveira Santana</t>
  </si>
  <si>
    <t>Carlos Alexandre</t>
  </si>
  <si>
    <t>consumidor</t>
  </si>
  <si>
    <t>30% = R$ 1.050,00</t>
  </si>
  <si>
    <t>Verc</t>
  </si>
  <si>
    <t>30% = 2.000,00</t>
  </si>
  <si>
    <t>Juliana Abreu</t>
  </si>
  <si>
    <t>divórcio c/c pensão</t>
  </si>
  <si>
    <t>Eduardo Verissimo</t>
  </si>
  <si>
    <t>cível</t>
  </si>
  <si>
    <t>Raimundo e Sandra</t>
  </si>
  <si>
    <t>set, nov</t>
  </si>
  <si>
    <t>Jordão</t>
  </si>
  <si>
    <t>cível / médico</t>
  </si>
  <si>
    <t>30% = R$ 6.000,00 + R$ 2.000,00 sucumb</t>
  </si>
  <si>
    <t>exec Edvaldo</t>
  </si>
  <si>
    <t>20% = R$ 5.000,00</t>
  </si>
  <si>
    <t>out</t>
  </si>
  <si>
    <t>RV Concreto</t>
  </si>
  <si>
    <t>falta a outra ação de 2500,00</t>
  </si>
  <si>
    <t>Gustavo e Thaciana</t>
  </si>
  <si>
    <t>20% = R$ 1800,00</t>
  </si>
  <si>
    <t>out, nov, dez</t>
  </si>
  <si>
    <t>Paulo Cesar Ferreira Machado</t>
  </si>
  <si>
    <t>sucumbencia katia artur</t>
  </si>
  <si>
    <t>Adriano TJRN</t>
  </si>
  <si>
    <t>defesa alimentos</t>
  </si>
  <si>
    <t>Cleonice Fernandes de Moraes</t>
  </si>
  <si>
    <t xml:space="preserve">curatela </t>
  </si>
  <si>
    <t>Katia Soares</t>
  </si>
  <si>
    <t>ação alimentos</t>
  </si>
  <si>
    <t>out, nov</t>
  </si>
  <si>
    <t>Elifelete Moura</t>
  </si>
  <si>
    <t>30% = R$ 859,00</t>
  </si>
  <si>
    <t>Fernanda Pereira da Silva</t>
  </si>
  <si>
    <t>nov, dez</t>
  </si>
  <si>
    <t>Claudia Claudenice</t>
  </si>
  <si>
    <t xml:space="preserve">Carlos Junior </t>
  </si>
  <si>
    <t>diversas ações</t>
  </si>
  <si>
    <t>nov,</t>
  </si>
  <si>
    <t>Vitória Kefflin</t>
  </si>
  <si>
    <t>Carla Fernanda</t>
  </si>
  <si>
    <t>Andreia Martins</t>
  </si>
  <si>
    <t>ação possessória</t>
  </si>
  <si>
    <t>ação vs Casa Verdi</t>
  </si>
  <si>
    <t>20% = 900,00</t>
  </si>
  <si>
    <t>Daniel Ceregati</t>
  </si>
  <si>
    <t>Erica Martins</t>
  </si>
  <si>
    <t>exec prisão</t>
  </si>
  <si>
    <t>30% = R$ 3.920,78</t>
  </si>
  <si>
    <t>Gustavo Souza Santos</t>
  </si>
  <si>
    <t>Pamela TJRS</t>
  </si>
  <si>
    <t>30% = 350,00</t>
  </si>
  <si>
    <t>Nayane</t>
  </si>
  <si>
    <t>Stelida</t>
  </si>
  <si>
    <t>exec nota promissória</t>
  </si>
  <si>
    <t>15% = 40,65</t>
  </si>
  <si>
    <t>Danielle Figueiredo</t>
  </si>
  <si>
    <t>30% = 525,00</t>
  </si>
  <si>
    <t>dez</t>
  </si>
  <si>
    <t>execução pensão rito</t>
  </si>
  <si>
    <t>40% = R$ 505,92</t>
  </si>
  <si>
    <t>Total</t>
  </si>
  <si>
    <t xml:space="preserve">Serviços extrajudiciais </t>
  </si>
  <si>
    <t>Cristiane Neves Silveira</t>
  </si>
  <si>
    <t>contrato veiculo</t>
  </si>
  <si>
    <t>65% Gust 35% Lucas</t>
  </si>
  <si>
    <t>recebemos 350,00 em 2024</t>
  </si>
  <si>
    <t>Célio e Andreia</t>
  </si>
  <si>
    <t>escritura compra</t>
  </si>
  <si>
    <t>40% Gust 60% Lucas</t>
  </si>
  <si>
    <t>jan, mar</t>
  </si>
  <si>
    <t>Comissão cartório teixeira</t>
  </si>
  <si>
    <t>escr. Célio e Andreia</t>
  </si>
  <si>
    <t xml:space="preserve">Ednalva </t>
  </si>
  <si>
    <t>consulta</t>
  </si>
  <si>
    <t>Wenderson e Cristiane</t>
  </si>
  <si>
    <t>inventário extraj</t>
  </si>
  <si>
    <t>Dabbinnei</t>
  </si>
  <si>
    <t>atendimento divorcio</t>
  </si>
  <si>
    <t>março</t>
  </si>
  <si>
    <t>Tagory</t>
  </si>
  <si>
    <t>esc. Compra e venda</t>
  </si>
  <si>
    <t>falta uma parcela de R$ 750,00</t>
  </si>
  <si>
    <t>Jonas</t>
  </si>
  <si>
    <t>criminal</t>
  </si>
  <si>
    <t>escr. Tagory</t>
  </si>
  <si>
    <t>Luana filha Cirlene</t>
  </si>
  <si>
    <t>casamento procuração</t>
  </si>
  <si>
    <t>Matheus H. Rezende</t>
  </si>
  <si>
    <t>cobrança extraj</t>
  </si>
  <si>
    <t>10% = 186,00</t>
  </si>
  <si>
    <t xml:space="preserve">Rodrigo </t>
  </si>
  <si>
    <t>contrato venda imovel</t>
  </si>
  <si>
    <t>50% Gust. 50% Lucas</t>
  </si>
  <si>
    <t>notif extraj caixa d'agua</t>
  </si>
  <si>
    <t>Ivanez Medeiros</t>
  </si>
  <si>
    <t>contrato compra e venda</t>
  </si>
  <si>
    <t>Maria Lucia Gomes</t>
  </si>
  <si>
    <t>contrato ext. união estavel</t>
  </si>
  <si>
    <t>abr, mai</t>
  </si>
  <si>
    <t>50% = R$ 1.000,00</t>
  </si>
  <si>
    <t>mai, jun</t>
  </si>
  <si>
    <t>Luiz Henrique Belini</t>
  </si>
  <si>
    <t>Marcio Gomes</t>
  </si>
  <si>
    <t>contrato aluguel</t>
  </si>
  <si>
    <t>notific elevadores</t>
  </si>
  <si>
    <t>maio</t>
  </si>
  <si>
    <t>contrato venda caminhão</t>
  </si>
  <si>
    <t>Rodrigo corretor</t>
  </si>
  <si>
    <t>contrato de aluguel</t>
  </si>
  <si>
    <t>Agostinha</t>
  </si>
  <si>
    <t xml:space="preserve">Atendimento  </t>
  </si>
  <si>
    <t>Gustavo Gorgen</t>
  </si>
  <si>
    <t>contrato arrendamento</t>
  </si>
  <si>
    <t>100% Lucas</t>
  </si>
  <si>
    <t>Arlene corretora</t>
  </si>
  <si>
    <t>Rodrigo</t>
  </si>
  <si>
    <t>escr. José Carlos e Tania</t>
  </si>
  <si>
    <t>nov</t>
  </si>
  <si>
    <t>Erinei TJMT</t>
  </si>
  <si>
    <t>acordo familia</t>
  </si>
  <si>
    <t>Parceria com o João</t>
  </si>
  <si>
    <t>Recebido João</t>
  </si>
  <si>
    <t>Adriano</t>
  </si>
  <si>
    <t>20% = R$ 800,00</t>
  </si>
  <si>
    <t>10% João, 31,5% Lucas, 58,5% Gust</t>
  </si>
  <si>
    <t>Larissa</t>
  </si>
  <si>
    <t>atendimento família</t>
  </si>
  <si>
    <t>10% Joao, 35% Lucas, 55% Gust.</t>
  </si>
  <si>
    <t>Kenia Bueno e Diego</t>
  </si>
  <si>
    <t>30% + 15% sucumb = R$ 3.354,67</t>
  </si>
  <si>
    <t>Jozete Bueno</t>
  </si>
  <si>
    <t>descontos indevidos</t>
  </si>
  <si>
    <t>30% = R$ 590,00</t>
  </si>
  <si>
    <t>Cristiele e Marlan</t>
  </si>
  <si>
    <t>contrato venda ágio</t>
  </si>
  <si>
    <t>Previdenciário</t>
  </si>
  <si>
    <t>Recebido Talyta</t>
  </si>
  <si>
    <t>Maria de Fátima</t>
  </si>
  <si>
    <t>pensão por morte</t>
  </si>
  <si>
    <t>6 sal. = R$ 9.108,00</t>
  </si>
  <si>
    <t>40% Gust. 35% Lucas e 25% Talyta</t>
  </si>
  <si>
    <t>mar, set</t>
  </si>
  <si>
    <t>falta R$ 4.108,00-150</t>
  </si>
  <si>
    <t>Vagno</t>
  </si>
  <si>
    <t>cálculos prev</t>
  </si>
  <si>
    <t>50% Gust. 25% Lucas e 25% Talyta</t>
  </si>
  <si>
    <t>Maria da Luz</t>
  </si>
  <si>
    <t>incapacidd temporaria</t>
  </si>
  <si>
    <t>40% = R$ 2.535,30</t>
  </si>
  <si>
    <t>Josefa</t>
  </si>
  <si>
    <t>prev</t>
  </si>
  <si>
    <t>Hosana</t>
  </si>
  <si>
    <t>sal maternidade</t>
  </si>
  <si>
    <t>25% = R$ 1518,00</t>
  </si>
  <si>
    <t>Yasmin</t>
  </si>
  <si>
    <t>maio, junho</t>
  </si>
  <si>
    <t>Walma Silva Souza</t>
  </si>
  <si>
    <t>aposentadoria idade</t>
  </si>
  <si>
    <t>2,5 sal min = R$ 3.750,00</t>
  </si>
  <si>
    <t>julho</t>
  </si>
  <si>
    <t>Kelly</t>
  </si>
  <si>
    <t>julho, ago</t>
  </si>
  <si>
    <t>Eliene</t>
  </si>
  <si>
    <t>Zeneide</t>
  </si>
  <si>
    <t>Thiago irmão Paulim</t>
  </si>
  <si>
    <t>exigência BPC</t>
  </si>
  <si>
    <t>Parceria Dr Paulo Agaipito</t>
  </si>
  <si>
    <t>Recebido parceiro</t>
  </si>
  <si>
    <t>Daniela</t>
  </si>
  <si>
    <t>40% Paulo, 39% Gust e 21% Lucas</t>
  </si>
  <si>
    <t>Denil</t>
  </si>
  <si>
    <t>defesa exec alimentos</t>
  </si>
  <si>
    <t>30% + 10% sucumb = R$ 1.218,88</t>
  </si>
  <si>
    <t>Waldemy</t>
  </si>
  <si>
    <t>exec contrato</t>
  </si>
  <si>
    <t>30% = R$ 2.154,00</t>
  </si>
  <si>
    <t>junho, julho</t>
  </si>
  <si>
    <t>Enaida</t>
  </si>
  <si>
    <t>30% = R$ 1.657,65</t>
  </si>
  <si>
    <t>37% Paulo, 37% Gust e 26% Lucas</t>
  </si>
  <si>
    <t>Suelmo/Cristhianne</t>
  </si>
  <si>
    <t>Marcelia</t>
  </si>
  <si>
    <t>familia - sucumben</t>
  </si>
  <si>
    <t>Outras parcerias</t>
  </si>
  <si>
    <t>Alimentos</t>
  </si>
  <si>
    <t>10% Neudes 31,5% Lucas e 58,50% Gustavo</t>
  </si>
  <si>
    <t>dez/24, abril, mai, jul</t>
  </si>
  <si>
    <t>recebemos R$ 200,00 em 2024.</t>
  </si>
  <si>
    <t>Denise Ladeira</t>
  </si>
  <si>
    <t>trabalhista</t>
  </si>
  <si>
    <t>50% = R$ 13.581,04</t>
  </si>
  <si>
    <t>50% Rejane, 25% Gust, 30% Talyta e 20% Lucas</t>
  </si>
  <si>
    <t>jan, fev maio</t>
  </si>
  <si>
    <t>Janaiane</t>
  </si>
  <si>
    <t>10% Talyta, 35% Lucas, 55% Gustavo</t>
  </si>
  <si>
    <t>Robson placas solares</t>
  </si>
  <si>
    <t>31% Jean, 44% Gust. 25% Lucas</t>
  </si>
  <si>
    <t>Marcio Gomes Carneiro</t>
  </si>
  <si>
    <t>defesa trabalhista</t>
  </si>
  <si>
    <t>10% Lucas</t>
  </si>
  <si>
    <t>Parceria criminal Jonas</t>
  </si>
  <si>
    <t>defesa criminal</t>
  </si>
  <si>
    <t>65% Gustavo 35% Lucas</t>
  </si>
  <si>
    <t>ação abandono afetivo</t>
  </si>
  <si>
    <t>ago, out, nov, dez</t>
  </si>
  <si>
    <t>Cindy</t>
  </si>
  <si>
    <t>declaração uniao estavel</t>
  </si>
  <si>
    <t>Felinha</t>
  </si>
  <si>
    <t>40% Jean, 25% Lucas, 35% Gustavo</t>
  </si>
  <si>
    <t>Comissão cartório Teixeira</t>
  </si>
  <si>
    <t>invet. Ianca</t>
  </si>
  <si>
    <t>Ianca e Sirlei</t>
  </si>
  <si>
    <t>inventário extraj.</t>
  </si>
  <si>
    <t>5% = R$ 29.000,00</t>
  </si>
  <si>
    <t>Isaac Pires</t>
  </si>
  <si>
    <t>20% + 10% sucumb = R$ 14.444,10</t>
  </si>
  <si>
    <t>50% Luciano, 17,5% Lucas, 32,50% 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</si>
</sst>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"/>
    <numFmt numFmtId="165" formatCode="_-&quot;R$&quot;\ * #,##0.00_-;\-&quot;R$&quot;\ * #,##0.00_-;_-&quot;R$&quot;\ * &quot;-&quot;??_-;_-@"/>
    <numFmt numFmtId="166" formatCode="&quot;R$&quot;\ 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Palatino Linotype"/>
      <family val="1"/>
    </font>
  </fonts>
  <fills count="5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</fills>
  <borders count="2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center"/>
    </xf>
    <xf numFmtId="164" fontId="2" fillId="2" borderId="3" xfId="0" applyNumberFormat="1" applyFont="1" applyFill="1" applyBorder="1" applyAlignment="1">
      <alignment horizontal="center"/>
    </xf>
    <xf numFmtId="164" fontId="2" fillId="2" borderId="3" xfId="0" applyNumberFormat="1" applyFont="1" applyFill="1" applyBorder="1" applyAlignment="1">
      <alignment horizontal="left"/>
    </xf>
    <xf numFmtId="164" fontId="2" fillId="2" borderId="4" xfId="0" applyNumberFormat="1" applyFont="1" applyFill="1" applyBorder="1" applyAlignment="1">
      <alignment horizontal="left"/>
    </xf>
    <xf numFmtId="0" fontId="2" fillId="3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0" borderId="8" xfId="0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9" xfId="0" applyFont="1" applyBorder="1" applyAlignment="1">
      <alignment horizontal="left"/>
    </xf>
    <xf numFmtId="44" fontId="2" fillId="0" borderId="0" xfId="1" applyFont="1" applyAlignment="1">
      <alignment horizontal="center"/>
    </xf>
    <xf numFmtId="8" fontId="2" fillId="0" borderId="0" xfId="1" applyNumberFormat="1" applyFont="1" applyAlignment="1">
      <alignment horizontal="center"/>
    </xf>
    <xf numFmtId="8" fontId="2" fillId="0" borderId="0" xfId="0" applyNumberFormat="1" applyFont="1" applyAlignment="1">
      <alignment horizontal="center"/>
    </xf>
    <xf numFmtId="9" fontId="2" fillId="0" borderId="0" xfId="2" applyFont="1" applyAlignment="1">
      <alignment horizontal="center"/>
    </xf>
    <xf numFmtId="44" fontId="2" fillId="0" borderId="0" xfId="1" applyFont="1"/>
    <xf numFmtId="9" fontId="2" fillId="0" borderId="0" xfId="1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44" fontId="2" fillId="0" borderId="10" xfId="1" applyFont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17" fontId="2" fillId="0" borderId="10" xfId="0" applyNumberFormat="1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0" fontId="2" fillId="0" borderId="12" xfId="0" applyFont="1" applyBorder="1" applyAlignment="1">
      <alignment horizontal="center"/>
    </xf>
    <xf numFmtId="166" fontId="2" fillId="0" borderId="0" xfId="1" applyNumberFormat="1" applyFont="1" applyAlignment="1">
      <alignment horizontal="center"/>
    </xf>
    <xf numFmtId="165" fontId="2" fillId="0" borderId="10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left"/>
    </xf>
    <xf numFmtId="0" fontId="2" fillId="2" borderId="16" xfId="0" applyFont="1" applyFill="1" applyBorder="1" applyAlignment="1">
      <alignment horizontal="left"/>
    </xf>
    <xf numFmtId="44" fontId="2" fillId="0" borderId="0" xfId="0" applyNumberFormat="1" applyFont="1"/>
    <xf numFmtId="17" fontId="2" fillId="0" borderId="0" xfId="0" applyNumberFormat="1" applyFont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2" xfId="0" applyFont="1" applyBorder="1"/>
    <xf numFmtId="8" fontId="2" fillId="0" borderId="0" xfId="0" applyNumberFormat="1" applyFont="1"/>
    <xf numFmtId="0" fontId="2" fillId="0" borderId="18" xfId="0" applyFont="1" applyBorder="1" applyAlignment="1">
      <alignment horizontal="center"/>
    </xf>
    <xf numFmtId="165" fontId="2" fillId="0" borderId="13" xfId="0" applyNumberFormat="1" applyFont="1" applyBorder="1" applyAlignment="1">
      <alignment horizontal="center"/>
    </xf>
    <xf numFmtId="165" fontId="2" fillId="0" borderId="0" xfId="0" applyNumberFormat="1" applyFont="1"/>
    <xf numFmtId="0" fontId="2" fillId="0" borderId="13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4" borderId="5" xfId="0" applyFont="1" applyFill="1" applyBorder="1" applyAlignment="1">
      <alignment horizontal="center"/>
    </xf>
    <xf numFmtId="164" fontId="2" fillId="0" borderId="0" xfId="0" applyNumberFormat="1" applyFont="1"/>
    <xf numFmtId="17" fontId="2" fillId="0" borderId="10" xfId="0" applyNumberFormat="1" applyFont="1" applyBorder="1" applyAlignment="1">
      <alignment horizontal="left"/>
    </xf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left"/>
    </xf>
    <xf numFmtId="0" fontId="2" fillId="2" borderId="22" xfId="0" applyFont="1" applyFill="1" applyBorder="1" applyAlignment="1">
      <alignment horizontal="left"/>
    </xf>
    <xf numFmtId="44" fontId="2" fillId="0" borderId="0" xfId="1" applyFont="1" applyAlignment="1">
      <alignment horizontal="left"/>
    </xf>
    <xf numFmtId="44" fontId="2" fillId="0" borderId="13" xfId="1" applyFont="1" applyBorder="1" applyAlignment="1">
      <alignment horizontal="center"/>
    </xf>
    <xf numFmtId="44" fontId="2" fillId="2" borderId="21" xfId="1" applyFont="1" applyFill="1" applyBorder="1" applyAlignment="1">
      <alignment horizontal="center"/>
    </xf>
    <xf numFmtId="0" fontId="2" fillId="0" borderId="23" xfId="0" applyFont="1" applyBorder="1" applyAlignment="1">
      <alignment horizontal="center"/>
    </xf>
    <xf numFmtId="8" fontId="2" fillId="0" borderId="23" xfId="0" applyNumberFormat="1" applyFont="1" applyBorder="1" applyAlignment="1">
      <alignment horizontal="center"/>
    </xf>
    <xf numFmtId="44" fontId="2" fillId="0" borderId="23" xfId="1" applyFont="1" applyBorder="1"/>
    <xf numFmtId="44" fontId="2" fillId="0" borderId="23" xfId="1" applyFont="1" applyBorder="1" applyAlignment="1">
      <alignment horizontal="center"/>
    </xf>
    <xf numFmtId="17" fontId="2" fillId="0" borderId="23" xfId="0" applyNumberFormat="1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9" fontId="2" fillId="0" borderId="0" xfId="0" applyNumberFormat="1" applyFont="1"/>
    <xf numFmtId="6" fontId="2" fillId="0" borderId="0" xfId="1" applyNumberFormat="1" applyFont="1" applyAlignment="1">
      <alignment horizontal="center"/>
    </xf>
    <xf numFmtId="0" fontId="2" fillId="0" borderId="13" xfId="0" applyFont="1" applyBorder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1F484-9488-4A4D-8159-92424DDEF2A0}">
  <dimension ref="A1:AA241"/>
  <sheetViews>
    <sheetView tabSelected="1" topLeftCell="A248" workbookViewId="0">
      <selection activeCell="B259" sqref="B259"/>
    </sheetView>
  </sheetViews>
  <sheetFormatPr defaultRowHeight="15" x14ac:dyDescent="0.25"/>
  <cols>
    <col min="1" max="1" width="31.140625" bestFit="1" customWidth="1"/>
    <col min="2" max="2" width="26.5703125" bestFit="1" customWidth="1"/>
    <col min="3" max="3" width="42.5703125" bestFit="1" customWidth="1"/>
    <col min="4" max="4" width="48.42578125" bestFit="1" customWidth="1"/>
    <col min="5" max="5" width="15.5703125" bestFit="1" customWidth="1"/>
    <col min="6" max="6" width="16.42578125" bestFit="1" customWidth="1"/>
    <col min="7" max="7" width="18.42578125" bestFit="1" customWidth="1"/>
    <col min="8" max="8" width="40.5703125" bestFit="1" customWidth="1"/>
    <col min="9" max="9" width="31.42578125" bestFit="1" customWidth="1"/>
    <col min="10" max="10" width="55.5703125" bestFit="1" customWidth="1"/>
    <col min="11" max="11" width="31.140625" bestFit="1" customWidth="1"/>
  </cols>
  <sheetData>
    <row r="1" spans="1:27" s="3" customFormat="1" ht="18" customHeight="1" thickBot="1" x14ac:dyDescent="0.4">
      <c r="A1" s="1"/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/>
    </row>
    <row r="2" spans="1:27" s="3" customFormat="1" ht="18" customHeight="1" thickBot="1" x14ac:dyDescent="0.4">
      <c r="A2" s="4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6"/>
      <c r="H2" s="7" t="s">
        <v>5</v>
      </c>
      <c r="I2" s="8" t="s">
        <v>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1"/>
    </row>
    <row r="3" spans="1:27" s="3" customFormat="1" ht="18" customHeight="1" thickBot="1" x14ac:dyDescent="0.4">
      <c r="A3" s="5" t="s">
        <v>7</v>
      </c>
      <c r="B3" s="9">
        <f>SUM(E8:E131,E137:E171,E178:E183,E190:E204,E211:E219,E226:E238)</f>
        <v>202046.23850000001</v>
      </c>
      <c r="C3" s="9">
        <f>SUM(F8:F131,F137:F171,F178:F183,F190:F204,F211:F219,F226:F238)</f>
        <v>145261.351</v>
      </c>
      <c r="D3" s="9">
        <f>SUM(G178:G180)</f>
        <v>515.46</v>
      </c>
      <c r="E3" s="9">
        <f>SUM(G190:G204)</f>
        <v>7703.8600000000006</v>
      </c>
      <c r="F3" s="9">
        <f>SUM(G211:G219)</f>
        <v>2544.6005</v>
      </c>
      <c r="G3" s="10"/>
      <c r="H3" s="11">
        <f>SUM(H226:H238)</f>
        <v>14022.05</v>
      </c>
      <c r="I3" s="12">
        <f>SUM(B3:H3)</f>
        <v>372093.56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1"/>
    </row>
    <row r="4" spans="1:27" s="3" customFormat="1" ht="18" customHeight="1" x14ac:dyDescent="0.35">
      <c r="A4" s="1"/>
      <c r="B4" s="1"/>
      <c r="C4" s="1"/>
      <c r="D4" s="1"/>
      <c r="E4" s="1"/>
      <c r="F4" s="1"/>
      <c r="G4" s="1"/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1"/>
    </row>
    <row r="5" spans="1:27" s="3" customFormat="1" ht="18" customHeight="1" thickBot="1" x14ac:dyDescent="0.4">
      <c r="A5" s="1"/>
      <c r="B5" s="1"/>
      <c r="C5" s="1" t="s">
        <v>8</v>
      </c>
      <c r="D5" s="1"/>
      <c r="E5" s="1"/>
      <c r="F5" s="1"/>
      <c r="G5" s="1"/>
      <c r="H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1"/>
    </row>
    <row r="6" spans="1:27" s="3" customFormat="1" ht="18" customHeight="1" thickBot="1" x14ac:dyDescent="0.4">
      <c r="A6" s="13" t="s">
        <v>9</v>
      </c>
      <c r="B6" s="1"/>
      <c r="C6" s="1"/>
      <c r="D6" s="1"/>
      <c r="E6" s="1"/>
      <c r="F6" s="1"/>
      <c r="G6" s="1"/>
      <c r="H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1"/>
    </row>
    <row r="7" spans="1:27" s="3" customFormat="1" ht="18" customHeight="1" thickBot="1" x14ac:dyDescent="0.4">
      <c r="A7" s="6" t="s">
        <v>10</v>
      </c>
      <c r="B7" s="14" t="s">
        <v>11</v>
      </c>
      <c r="C7" s="14" t="s">
        <v>12</v>
      </c>
      <c r="D7" s="14" t="s">
        <v>13</v>
      </c>
      <c r="E7" s="14" t="s">
        <v>14</v>
      </c>
      <c r="F7" s="14" t="s">
        <v>15</v>
      </c>
      <c r="G7" s="14"/>
      <c r="H7" s="14" t="s">
        <v>16</v>
      </c>
      <c r="I7" s="15"/>
      <c r="J7" s="16" t="s">
        <v>17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1"/>
    </row>
    <row r="8" spans="1:27" s="3" customFormat="1" ht="18" customHeight="1" x14ac:dyDescent="0.35">
      <c r="A8" s="17" t="s">
        <v>18</v>
      </c>
      <c r="B8" s="1" t="s">
        <v>19</v>
      </c>
      <c r="C8" s="18">
        <v>1500</v>
      </c>
      <c r="D8" s="1" t="s">
        <v>20</v>
      </c>
      <c r="E8" s="19">
        <v>715</v>
      </c>
      <c r="F8" s="19">
        <v>385</v>
      </c>
      <c r="G8" s="19">
        <v>1100</v>
      </c>
      <c r="H8" s="20" t="s">
        <v>21</v>
      </c>
      <c r="I8" s="2"/>
      <c r="J8" s="21" t="s">
        <v>22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1"/>
    </row>
    <row r="9" spans="1:27" s="3" customFormat="1" ht="18" customHeight="1" x14ac:dyDescent="0.35">
      <c r="A9" s="17" t="s">
        <v>23</v>
      </c>
      <c r="B9" s="1" t="s">
        <v>24</v>
      </c>
      <c r="C9" s="18">
        <v>1500</v>
      </c>
      <c r="D9" s="1" t="s">
        <v>20</v>
      </c>
      <c r="E9" s="19">
        <v>975</v>
      </c>
      <c r="F9" s="19">
        <v>525</v>
      </c>
      <c r="G9" s="19">
        <v>1500</v>
      </c>
      <c r="H9" s="20" t="s">
        <v>25</v>
      </c>
      <c r="I9" s="2"/>
      <c r="J9" s="21" t="s">
        <v>26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1"/>
    </row>
    <row r="10" spans="1:27" s="3" customFormat="1" ht="18" customHeight="1" x14ac:dyDescent="0.35">
      <c r="A10" s="3" t="s">
        <v>27</v>
      </c>
      <c r="B10" s="1" t="s">
        <v>28</v>
      </c>
      <c r="C10" s="22">
        <v>2500</v>
      </c>
      <c r="D10" s="1" t="s">
        <v>29</v>
      </c>
      <c r="E10" s="19">
        <v>722.4</v>
      </c>
      <c r="F10" s="19">
        <v>1083.5999999999999</v>
      </c>
      <c r="G10" s="19">
        <v>1806</v>
      </c>
      <c r="H10" s="20" t="s">
        <v>30</v>
      </c>
      <c r="I10" s="2"/>
      <c r="J10" s="21" t="s">
        <v>31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1"/>
    </row>
    <row r="11" spans="1:27" s="3" customFormat="1" ht="18" customHeight="1" x14ac:dyDescent="0.35">
      <c r="A11" s="17" t="s">
        <v>32</v>
      </c>
      <c r="B11" s="1" t="s">
        <v>33</v>
      </c>
      <c r="C11" s="23">
        <v>2000</v>
      </c>
      <c r="D11" s="1" t="s">
        <v>20</v>
      </c>
      <c r="E11" s="19">
        <v>562.5</v>
      </c>
      <c r="F11" s="19">
        <v>437.5</v>
      </c>
      <c r="G11" s="19">
        <v>1000</v>
      </c>
      <c r="H11" s="20">
        <v>45627</v>
      </c>
      <c r="I11" s="2"/>
      <c r="J11" s="21" t="s">
        <v>34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1"/>
    </row>
    <row r="12" spans="1:27" s="3" customFormat="1" ht="18" customHeight="1" x14ac:dyDescent="0.35">
      <c r="A12" s="17" t="s">
        <v>35</v>
      </c>
      <c r="B12" s="1" t="s">
        <v>36</v>
      </c>
      <c r="C12" s="23">
        <v>2500</v>
      </c>
      <c r="D12" s="1" t="s">
        <v>20</v>
      </c>
      <c r="E12" s="19">
        <v>260</v>
      </c>
      <c r="F12" s="19">
        <v>140</v>
      </c>
      <c r="G12" s="19">
        <v>400</v>
      </c>
      <c r="H12" s="20" t="s">
        <v>37</v>
      </c>
      <c r="I12" s="2"/>
      <c r="J12" s="21" t="s">
        <v>38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1"/>
    </row>
    <row r="13" spans="1:27" s="3" customFormat="1" ht="18" customHeight="1" x14ac:dyDescent="0.35">
      <c r="A13" s="17" t="s">
        <v>39</v>
      </c>
      <c r="B13" s="1" t="s">
        <v>40</v>
      </c>
      <c r="C13" s="22" t="s">
        <v>41</v>
      </c>
      <c r="D13" s="1" t="s">
        <v>29</v>
      </c>
      <c r="E13" s="19">
        <v>111.36</v>
      </c>
      <c r="F13" s="19">
        <v>167.04</v>
      </c>
      <c r="G13" s="19">
        <v>278.39999999999998</v>
      </c>
      <c r="H13" s="20" t="s">
        <v>42</v>
      </c>
      <c r="I13" s="2"/>
      <c r="J13" s="21" t="s">
        <v>43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1"/>
    </row>
    <row r="14" spans="1:27" s="3" customFormat="1" ht="18" customHeight="1" x14ac:dyDescent="0.35">
      <c r="A14" s="17" t="s">
        <v>44</v>
      </c>
      <c r="B14" s="1" t="s">
        <v>45</v>
      </c>
      <c r="C14" s="23">
        <v>3500</v>
      </c>
      <c r="D14" s="1" t="s">
        <v>20</v>
      </c>
      <c r="E14" s="19">
        <v>2047.5</v>
      </c>
      <c r="F14" s="19">
        <v>1102.5</v>
      </c>
      <c r="G14" s="19">
        <v>3150</v>
      </c>
      <c r="H14" s="20" t="s">
        <v>46</v>
      </c>
      <c r="I14" s="2"/>
      <c r="J14" s="21" t="s">
        <v>47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1"/>
    </row>
    <row r="15" spans="1:27" s="3" customFormat="1" ht="18" customHeight="1" x14ac:dyDescent="0.35">
      <c r="A15" s="17" t="s">
        <v>48</v>
      </c>
      <c r="B15" s="1" t="s">
        <v>24</v>
      </c>
      <c r="C15" s="23">
        <v>15000</v>
      </c>
      <c r="D15" s="1" t="s">
        <v>20</v>
      </c>
      <c r="E15" s="19">
        <v>5200</v>
      </c>
      <c r="F15" s="19">
        <v>2800</v>
      </c>
      <c r="G15" s="19">
        <v>8000</v>
      </c>
      <c r="H15" s="20" t="s">
        <v>49</v>
      </c>
      <c r="I15" s="2"/>
      <c r="J15" s="21" t="s">
        <v>50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1"/>
    </row>
    <row r="16" spans="1:27" s="3" customFormat="1" ht="18" customHeight="1" x14ac:dyDescent="0.35">
      <c r="A16" s="17" t="s">
        <v>51</v>
      </c>
      <c r="B16" s="1" t="s">
        <v>19</v>
      </c>
      <c r="C16" s="22" t="s">
        <v>52</v>
      </c>
      <c r="D16" s="1" t="s">
        <v>20</v>
      </c>
      <c r="E16" s="19">
        <v>162.5</v>
      </c>
      <c r="F16" s="19">
        <v>87.5</v>
      </c>
      <c r="G16" s="19">
        <v>250</v>
      </c>
      <c r="H16" s="20" t="s">
        <v>42</v>
      </c>
      <c r="I16" s="2"/>
      <c r="J16" s="21" t="s">
        <v>53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1"/>
    </row>
    <row r="17" spans="1:27" s="3" customFormat="1" ht="18" customHeight="1" x14ac:dyDescent="0.35">
      <c r="A17" s="17" t="s">
        <v>54</v>
      </c>
      <c r="B17" s="1" t="s">
        <v>55</v>
      </c>
      <c r="C17" s="24" t="s">
        <v>56</v>
      </c>
      <c r="D17" s="1" t="s">
        <v>20</v>
      </c>
      <c r="E17" s="19">
        <v>650</v>
      </c>
      <c r="F17" s="19">
        <v>350</v>
      </c>
      <c r="G17" s="19">
        <v>1000</v>
      </c>
      <c r="H17" s="20" t="s">
        <v>57</v>
      </c>
      <c r="I17" s="2"/>
      <c r="J17" s="21" t="s">
        <v>58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1"/>
    </row>
    <row r="18" spans="1:27" s="3" customFormat="1" ht="18" customHeight="1" x14ac:dyDescent="0.35">
      <c r="A18" s="17" t="s">
        <v>59</v>
      </c>
      <c r="B18" s="1" t="s">
        <v>60</v>
      </c>
      <c r="C18" s="25" t="s">
        <v>61</v>
      </c>
      <c r="D18" s="1" t="s">
        <v>62</v>
      </c>
      <c r="E18" s="19">
        <v>287</v>
      </c>
      <c r="F18" s="19">
        <v>123</v>
      </c>
      <c r="G18" s="19">
        <v>410</v>
      </c>
      <c r="H18" s="20" t="s">
        <v>42</v>
      </c>
      <c r="I18" s="2"/>
      <c r="J18" s="21" t="s">
        <v>43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1"/>
    </row>
    <row r="19" spans="1:27" s="3" customFormat="1" ht="18" customHeight="1" x14ac:dyDescent="0.35">
      <c r="A19" s="17" t="s">
        <v>63</v>
      </c>
      <c r="B19" s="1" t="s">
        <v>64</v>
      </c>
      <c r="C19" s="23">
        <v>5000</v>
      </c>
      <c r="D19" s="1" t="s">
        <v>29</v>
      </c>
      <c r="E19" s="19">
        <v>1400</v>
      </c>
      <c r="F19" s="19">
        <v>2100</v>
      </c>
      <c r="G19" s="19">
        <v>3500</v>
      </c>
      <c r="H19" s="20" t="s">
        <v>65</v>
      </c>
      <c r="I19" s="2"/>
      <c r="J19" s="21" t="s">
        <v>66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1"/>
    </row>
    <row r="20" spans="1:27" s="3" customFormat="1" ht="18" customHeight="1" x14ac:dyDescent="0.35">
      <c r="A20" s="17" t="s">
        <v>67</v>
      </c>
      <c r="B20" s="1" t="s">
        <v>68</v>
      </c>
      <c r="C20" s="22" t="s">
        <v>69</v>
      </c>
      <c r="D20" s="1" t="s">
        <v>29</v>
      </c>
      <c r="E20" s="19">
        <v>612</v>
      </c>
      <c r="F20" s="19">
        <v>920</v>
      </c>
      <c r="G20" s="19">
        <v>1532</v>
      </c>
      <c r="H20" s="20" t="s">
        <v>70</v>
      </c>
      <c r="I20" s="2"/>
      <c r="J20" s="21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1"/>
    </row>
    <row r="21" spans="1:27" s="3" customFormat="1" ht="18" customHeight="1" x14ac:dyDescent="0.35">
      <c r="A21" s="17" t="s">
        <v>71</v>
      </c>
      <c r="B21" s="1" t="s">
        <v>72</v>
      </c>
      <c r="C21" s="23">
        <v>3500</v>
      </c>
      <c r="D21" s="1" t="s">
        <v>20</v>
      </c>
      <c r="E21" s="19">
        <v>2274.75</v>
      </c>
      <c r="F21" s="19">
        <v>1224.8599999999999</v>
      </c>
      <c r="G21" s="19">
        <v>3499.6099999999997</v>
      </c>
      <c r="H21" s="20" t="s">
        <v>73</v>
      </c>
      <c r="I21" s="2"/>
      <c r="J21" s="21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1"/>
    </row>
    <row r="22" spans="1:27" s="3" customFormat="1" ht="18" customHeight="1" x14ac:dyDescent="0.35">
      <c r="A22" s="17" t="s">
        <v>74</v>
      </c>
      <c r="B22" s="1" t="s">
        <v>75</v>
      </c>
      <c r="C22" s="22"/>
      <c r="D22" s="1" t="s">
        <v>20</v>
      </c>
      <c r="E22" s="19">
        <v>585</v>
      </c>
      <c r="F22" s="19">
        <v>315</v>
      </c>
      <c r="G22" s="19">
        <v>900</v>
      </c>
      <c r="H22" s="20" t="s">
        <v>76</v>
      </c>
      <c r="I22" s="2"/>
      <c r="J22" s="21" t="s">
        <v>77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1"/>
    </row>
    <row r="23" spans="1:27" s="3" customFormat="1" ht="18" customHeight="1" x14ac:dyDescent="0.35">
      <c r="A23" s="17" t="s">
        <v>78</v>
      </c>
      <c r="B23" s="1" t="s">
        <v>79</v>
      </c>
      <c r="C23" s="22">
        <v>2500</v>
      </c>
      <c r="D23" s="1" t="s">
        <v>20</v>
      </c>
      <c r="E23" s="19">
        <v>1625</v>
      </c>
      <c r="F23" s="19">
        <v>875</v>
      </c>
      <c r="G23" s="19">
        <v>2500</v>
      </c>
      <c r="H23" s="20" t="s">
        <v>80</v>
      </c>
      <c r="I23" s="2"/>
      <c r="J23" s="21" t="s">
        <v>77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1"/>
    </row>
    <row r="24" spans="1:27" s="3" customFormat="1" ht="18" customHeight="1" x14ac:dyDescent="0.35">
      <c r="A24" s="17" t="s">
        <v>81</v>
      </c>
      <c r="B24" s="1" t="s">
        <v>82</v>
      </c>
      <c r="C24" s="22" t="s">
        <v>83</v>
      </c>
      <c r="D24" s="1" t="s">
        <v>20</v>
      </c>
      <c r="E24" s="19">
        <v>195</v>
      </c>
      <c r="F24" s="19">
        <v>105</v>
      </c>
      <c r="G24" s="19">
        <v>300</v>
      </c>
      <c r="H24" s="20" t="s">
        <v>84</v>
      </c>
      <c r="I24" s="2"/>
      <c r="J24" s="21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1"/>
    </row>
    <row r="25" spans="1:27" s="3" customFormat="1" ht="18" customHeight="1" x14ac:dyDescent="0.35">
      <c r="A25" s="17" t="s">
        <v>85</v>
      </c>
      <c r="B25" s="1" t="s">
        <v>86</v>
      </c>
      <c r="C25" s="23">
        <v>1000</v>
      </c>
      <c r="D25" s="1" t="s">
        <v>29</v>
      </c>
      <c r="E25" s="19">
        <v>200</v>
      </c>
      <c r="F25" s="19">
        <v>300</v>
      </c>
      <c r="G25" s="19">
        <v>500</v>
      </c>
      <c r="H25" s="20" t="s">
        <v>84</v>
      </c>
      <c r="I25" s="2"/>
      <c r="J25" s="21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1"/>
    </row>
    <row r="26" spans="1:27" s="3" customFormat="1" ht="18" customHeight="1" x14ac:dyDescent="0.35">
      <c r="A26" s="17" t="s">
        <v>87</v>
      </c>
      <c r="B26" s="1" t="s">
        <v>88</v>
      </c>
      <c r="C26" s="23" t="s">
        <v>89</v>
      </c>
      <c r="D26" s="1" t="s">
        <v>20</v>
      </c>
      <c r="E26" s="19">
        <v>273</v>
      </c>
      <c r="F26" s="19">
        <v>147</v>
      </c>
      <c r="G26" s="19">
        <v>420</v>
      </c>
      <c r="H26" s="20" t="s">
        <v>90</v>
      </c>
      <c r="I26" s="2"/>
      <c r="J26" s="21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1"/>
    </row>
    <row r="27" spans="1:27" s="3" customFormat="1" ht="18" customHeight="1" x14ac:dyDescent="0.35">
      <c r="A27" s="17" t="s">
        <v>91</v>
      </c>
      <c r="B27" s="1" t="s">
        <v>92</v>
      </c>
      <c r="C27" s="22" t="s">
        <v>93</v>
      </c>
      <c r="D27" s="1" t="s">
        <v>20</v>
      </c>
      <c r="E27" s="19">
        <v>4671.58</v>
      </c>
      <c r="F27" s="19">
        <v>2515.4699999999998</v>
      </c>
      <c r="G27" s="19">
        <v>7187.0499999999993</v>
      </c>
      <c r="H27" s="20" t="s">
        <v>84</v>
      </c>
      <c r="I27" s="2"/>
      <c r="J27" s="21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1"/>
    </row>
    <row r="28" spans="1:27" s="3" customFormat="1" ht="18" customHeight="1" x14ac:dyDescent="0.35">
      <c r="A28" s="17" t="s">
        <v>94</v>
      </c>
      <c r="B28" s="1" t="s">
        <v>95</v>
      </c>
      <c r="C28" s="22">
        <v>3500</v>
      </c>
      <c r="D28" s="1" t="s">
        <v>20</v>
      </c>
      <c r="E28" s="19">
        <v>1003.6</v>
      </c>
      <c r="F28" s="19">
        <v>540.4</v>
      </c>
      <c r="G28" s="19">
        <v>1544</v>
      </c>
      <c r="H28" s="20" t="s">
        <v>96</v>
      </c>
      <c r="I28" s="2"/>
      <c r="J28" s="21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1"/>
    </row>
    <row r="29" spans="1:27" s="3" customFormat="1" ht="18" customHeight="1" x14ac:dyDescent="0.35">
      <c r="A29" s="17" t="s">
        <v>35</v>
      </c>
      <c r="B29" s="1" t="s">
        <v>97</v>
      </c>
      <c r="C29" s="23" t="s">
        <v>98</v>
      </c>
      <c r="D29" s="1" t="s">
        <v>20</v>
      </c>
      <c r="E29" s="19">
        <v>295.75</v>
      </c>
      <c r="F29" s="19">
        <v>159.25</v>
      </c>
      <c r="G29" s="19">
        <v>455</v>
      </c>
      <c r="H29" s="20" t="s">
        <v>84</v>
      </c>
      <c r="I29" s="2"/>
      <c r="J29" s="21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1"/>
    </row>
    <row r="30" spans="1:27" s="3" customFormat="1" ht="18" customHeight="1" x14ac:dyDescent="0.35">
      <c r="A30" s="17" t="s">
        <v>99</v>
      </c>
      <c r="B30" s="1" t="s">
        <v>100</v>
      </c>
      <c r="C30" s="23" t="s">
        <v>101</v>
      </c>
      <c r="D30" s="1" t="s">
        <v>29</v>
      </c>
      <c r="E30" s="19">
        <v>360</v>
      </c>
      <c r="F30" s="19">
        <v>540</v>
      </c>
      <c r="G30" s="19">
        <v>900</v>
      </c>
      <c r="H30" s="20" t="s">
        <v>102</v>
      </c>
      <c r="I30" s="2"/>
      <c r="J30" s="21" t="s">
        <v>103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1"/>
    </row>
    <row r="31" spans="1:27" s="3" customFormat="1" ht="18" customHeight="1" x14ac:dyDescent="0.35">
      <c r="A31" s="3" t="s">
        <v>104</v>
      </c>
      <c r="B31" s="3" t="s">
        <v>92</v>
      </c>
      <c r="C31" s="26">
        <v>1248.3600000000001</v>
      </c>
      <c r="D31" s="1" t="s">
        <v>29</v>
      </c>
      <c r="E31" s="19">
        <v>499.34000000000003</v>
      </c>
      <c r="F31" s="19">
        <v>749.02</v>
      </c>
      <c r="G31" s="19">
        <v>1248.3600000000001</v>
      </c>
      <c r="H31" s="20" t="s">
        <v>105</v>
      </c>
      <c r="I31" s="2"/>
      <c r="J31" s="21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1"/>
    </row>
    <row r="32" spans="1:27" s="3" customFormat="1" ht="18" customHeight="1" x14ac:dyDescent="0.35">
      <c r="A32" s="17" t="s">
        <v>106</v>
      </c>
      <c r="B32" s="1" t="s">
        <v>88</v>
      </c>
      <c r="C32" s="23" t="s">
        <v>107</v>
      </c>
      <c r="D32" s="1" t="s">
        <v>29</v>
      </c>
      <c r="E32" s="19">
        <v>80</v>
      </c>
      <c r="F32" s="19">
        <v>120</v>
      </c>
      <c r="G32" s="19">
        <v>200</v>
      </c>
      <c r="H32" s="20" t="s">
        <v>108</v>
      </c>
      <c r="I32" s="2"/>
      <c r="J32" s="21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1"/>
    </row>
    <row r="33" spans="1:27" s="3" customFormat="1" ht="17.25" customHeight="1" x14ac:dyDescent="0.35">
      <c r="A33" s="17" t="s">
        <v>109</v>
      </c>
      <c r="B33" s="1" t="s">
        <v>92</v>
      </c>
      <c r="C33" s="23" t="s">
        <v>110</v>
      </c>
      <c r="D33" s="1" t="s">
        <v>20</v>
      </c>
      <c r="E33" s="19">
        <v>260</v>
      </c>
      <c r="F33" s="19">
        <v>140</v>
      </c>
      <c r="G33" s="19">
        <v>400</v>
      </c>
      <c r="H33" s="20" t="s">
        <v>111</v>
      </c>
      <c r="I33" s="2"/>
      <c r="J33" s="21" t="s">
        <v>112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1"/>
    </row>
    <row r="34" spans="1:27" s="3" customFormat="1" ht="17.25" customHeight="1" x14ac:dyDescent="0.35">
      <c r="A34" s="17" t="s">
        <v>113</v>
      </c>
      <c r="B34" s="1" t="s">
        <v>114</v>
      </c>
      <c r="C34" s="23" t="s">
        <v>115</v>
      </c>
      <c r="D34" s="1" t="s">
        <v>29</v>
      </c>
      <c r="E34" s="19">
        <v>1446.53</v>
      </c>
      <c r="F34" s="19">
        <v>2169.8000000000002</v>
      </c>
      <c r="G34" s="19">
        <v>3616.33</v>
      </c>
      <c r="H34" s="20" t="s">
        <v>108</v>
      </c>
      <c r="I34" s="2"/>
      <c r="J34" s="21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1"/>
    </row>
    <row r="35" spans="1:27" s="3" customFormat="1" ht="17.25" customHeight="1" x14ac:dyDescent="0.35">
      <c r="A35" s="17" t="s">
        <v>116</v>
      </c>
      <c r="B35" s="1" t="s">
        <v>117</v>
      </c>
      <c r="C35" s="23" t="s">
        <v>118</v>
      </c>
      <c r="D35" s="1" t="s">
        <v>20</v>
      </c>
      <c r="E35" s="19">
        <v>2366.5600000000004</v>
      </c>
      <c r="F35" s="19">
        <v>1274.2700000000002</v>
      </c>
      <c r="G35" s="19">
        <v>3640.8300000000008</v>
      </c>
      <c r="H35" s="20" t="s">
        <v>119</v>
      </c>
      <c r="I35" s="2"/>
      <c r="J35" s="21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1"/>
    </row>
    <row r="36" spans="1:27" s="3" customFormat="1" ht="17.25" customHeight="1" x14ac:dyDescent="0.35">
      <c r="A36" s="17" t="s">
        <v>120</v>
      </c>
      <c r="B36" s="1" t="s">
        <v>121</v>
      </c>
      <c r="C36" s="23">
        <v>3600</v>
      </c>
      <c r="D36" s="1" t="s">
        <v>20</v>
      </c>
      <c r="E36" s="19">
        <v>2340</v>
      </c>
      <c r="F36" s="19">
        <v>1260</v>
      </c>
      <c r="G36" s="19">
        <v>3600</v>
      </c>
      <c r="H36" s="20" t="s">
        <v>122</v>
      </c>
      <c r="I36" s="2"/>
      <c r="J36" s="2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1"/>
    </row>
    <row r="37" spans="1:27" s="3" customFormat="1" ht="17.25" customHeight="1" x14ac:dyDescent="0.35">
      <c r="A37" s="17" t="s">
        <v>51</v>
      </c>
      <c r="B37" s="1" t="s">
        <v>19</v>
      </c>
      <c r="C37" s="22" t="s">
        <v>52</v>
      </c>
      <c r="D37" s="1" t="s">
        <v>20</v>
      </c>
      <c r="E37" s="19">
        <v>162.5</v>
      </c>
      <c r="F37" s="19">
        <v>87.5</v>
      </c>
      <c r="G37" s="19">
        <v>250</v>
      </c>
      <c r="H37" s="20" t="s">
        <v>123</v>
      </c>
      <c r="I37" s="2"/>
      <c r="J37" s="21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1"/>
    </row>
    <row r="38" spans="1:27" s="3" customFormat="1" ht="18" customHeight="1" x14ac:dyDescent="0.35">
      <c r="A38" s="17" t="s">
        <v>124</v>
      </c>
      <c r="B38" s="1" t="s">
        <v>19</v>
      </c>
      <c r="C38" s="27">
        <v>0.3</v>
      </c>
      <c r="D38" s="1" t="s">
        <v>29</v>
      </c>
      <c r="E38" s="19">
        <v>267.33000000000004</v>
      </c>
      <c r="F38" s="19">
        <v>401</v>
      </c>
      <c r="G38" s="19">
        <v>668.33</v>
      </c>
      <c r="H38" s="20" t="s">
        <v>125</v>
      </c>
      <c r="I38" s="2"/>
      <c r="J38" s="21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1"/>
    </row>
    <row r="39" spans="1:27" s="3" customFormat="1" ht="18" customHeight="1" x14ac:dyDescent="0.35">
      <c r="A39" s="17" t="s">
        <v>126</v>
      </c>
      <c r="B39" s="1" t="s">
        <v>127</v>
      </c>
      <c r="C39" s="23">
        <v>2500</v>
      </c>
      <c r="D39" s="1" t="s">
        <v>20</v>
      </c>
      <c r="E39" s="19">
        <v>1625</v>
      </c>
      <c r="F39" s="19">
        <v>875</v>
      </c>
      <c r="G39" s="19">
        <v>2500</v>
      </c>
      <c r="H39" s="20" t="s">
        <v>128</v>
      </c>
      <c r="I39" s="2"/>
      <c r="J39" s="21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1"/>
    </row>
    <row r="40" spans="1:27" s="3" customFormat="1" ht="18" customHeight="1" x14ac:dyDescent="0.35">
      <c r="A40" s="17" t="s">
        <v>129</v>
      </c>
      <c r="B40" s="1" t="s">
        <v>19</v>
      </c>
      <c r="C40" s="23">
        <v>1000</v>
      </c>
      <c r="D40" s="1" t="s">
        <v>20</v>
      </c>
      <c r="E40" s="19">
        <v>650</v>
      </c>
      <c r="F40" s="19">
        <v>350</v>
      </c>
      <c r="G40" s="19">
        <v>1000</v>
      </c>
      <c r="H40" s="20" t="s">
        <v>125</v>
      </c>
      <c r="I40" s="2"/>
      <c r="J40" s="21" t="s">
        <v>77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1"/>
    </row>
    <row r="41" spans="1:27" s="3" customFormat="1" ht="18" customHeight="1" x14ac:dyDescent="0.35">
      <c r="A41" s="17" t="s">
        <v>130</v>
      </c>
      <c r="B41" s="1" t="s">
        <v>131</v>
      </c>
      <c r="C41" s="23" t="s">
        <v>132</v>
      </c>
      <c r="D41" s="1" t="s">
        <v>20</v>
      </c>
      <c r="E41" s="19">
        <v>5380.38</v>
      </c>
      <c r="F41" s="19">
        <v>2897.12</v>
      </c>
      <c r="G41" s="19">
        <v>8277.5</v>
      </c>
      <c r="H41" s="20" t="s">
        <v>123</v>
      </c>
      <c r="I41" s="2"/>
      <c r="J41" s="21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1"/>
    </row>
    <row r="42" spans="1:27" s="3" customFormat="1" ht="18" customHeight="1" x14ac:dyDescent="0.35">
      <c r="A42" s="17" t="s">
        <v>133</v>
      </c>
      <c r="B42" s="1" t="s">
        <v>92</v>
      </c>
      <c r="C42" s="23" t="s">
        <v>134</v>
      </c>
      <c r="D42" s="1" t="s">
        <v>62</v>
      </c>
      <c r="E42" s="19">
        <v>14903.87</v>
      </c>
      <c r="F42" s="19">
        <v>6387.37</v>
      </c>
      <c r="G42" s="19">
        <v>21291.24</v>
      </c>
      <c r="H42" s="20" t="s">
        <v>128</v>
      </c>
      <c r="I42" s="2"/>
      <c r="J42" s="21" t="s">
        <v>135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1"/>
    </row>
    <row r="43" spans="1:27" s="3" customFormat="1" ht="18" customHeight="1" x14ac:dyDescent="0.35">
      <c r="A43" s="17" t="s">
        <v>106</v>
      </c>
      <c r="B43" s="1" t="s">
        <v>136</v>
      </c>
      <c r="C43" s="23" t="s">
        <v>137</v>
      </c>
      <c r="D43" s="1" t="s">
        <v>29</v>
      </c>
      <c r="E43" s="19">
        <v>480</v>
      </c>
      <c r="F43" s="19">
        <v>720</v>
      </c>
      <c r="G43" s="19">
        <v>1200</v>
      </c>
      <c r="H43" s="20" t="s">
        <v>138</v>
      </c>
      <c r="I43" s="2"/>
      <c r="J43" s="21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1"/>
    </row>
    <row r="44" spans="1:27" s="3" customFormat="1" ht="18" customHeight="1" x14ac:dyDescent="0.35">
      <c r="A44" s="17" t="s">
        <v>139</v>
      </c>
      <c r="B44" s="1" t="s">
        <v>92</v>
      </c>
      <c r="C44" s="24" t="s">
        <v>140</v>
      </c>
      <c r="D44" s="1" t="s">
        <v>20</v>
      </c>
      <c r="E44" s="19">
        <v>7674.25</v>
      </c>
      <c r="F44" s="19">
        <v>4132.28</v>
      </c>
      <c r="G44" s="19">
        <v>11806.529999999999</v>
      </c>
      <c r="H44" s="20" t="s">
        <v>123</v>
      </c>
      <c r="I44" s="2"/>
      <c r="J44" s="21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1"/>
    </row>
    <row r="45" spans="1:27" s="3" customFormat="1" ht="18" customHeight="1" x14ac:dyDescent="0.35">
      <c r="A45" s="17" t="s">
        <v>141</v>
      </c>
      <c r="B45" s="1" t="s">
        <v>142</v>
      </c>
      <c r="C45" s="24">
        <v>2500</v>
      </c>
      <c r="D45" s="1" t="s">
        <v>29</v>
      </c>
      <c r="E45" s="19">
        <v>1000</v>
      </c>
      <c r="F45" s="19">
        <v>1500</v>
      </c>
      <c r="G45" s="19">
        <v>2500</v>
      </c>
      <c r="H45" s="20" t="s">
        <v>143</v>
      </c>
      <c r="I45" s="2"/>
      <c r="J45" s="21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1"/>
    </row>
    <row r="46" spans="1:27" s="3" customFormat="1" ht="18" customHeight="1" x14ac:dyDescent="0.35">
      <c r="A46" s="17" t="s">
        <v>144</v>
      </c>
      <c r="B46" s="1" t="s">
        <v>60</v>
      </c>
      <c r="C46" s="24" t="s">
        <v>145</v>
      </c>
      <c r="D46" s="1" t="s">
        <v>20</v>
      </c>
      <c r="E46" s="19">
        <v>339.97</v>
      </c>
      <c r="F46" s="19">
        <v>183.18999999999997</v>
      </c>
      <c r="G46" s="19">
        <v>523.16</v>
      </c>
      <c r="H46" s="20" t="s">
        <v>146</v>
      </c>
      <c r="I46" s="2"/>
      <c r="J46" s="21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1"/>
    </row>
    <row r="47" spans="1:27" s="3" customFormat="1" ht="18" customHeight="1" x14ac:dyDescent="0.35">
      <c r="A47" s="17" t="s">
        <v>147</v>
      </c>
      <c r="B47" s="1" t="s">
        <v>148</v>
      </c>
      <c r="C47" s="24" t="s">
        <v>149</v>
      </c>
      <c r="D47" s="1" t="s">
        <v>20</v>
      </c>
      <c r="E47" s="19">
        <v>6500</v>
      </c>
      <c r="F47" s="19">
        <v>3500</v>
      </c>
      <c r="G47" s="19">
        <v>10000</v>
      </c>
      <c r="H47" s="20" t="s">
        <v>122</v>
      </c>
      <c r="I47" s="2"/>
      <c r="J47" s="21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1"/>
    </row>
    <row r="48" spans="1:27" s="3" customFormat="1" ht="18" customHeight="1" x14ac:dyDescent="0.35">
      <c r="A48" s="17" t="s">
        <v>150</v>
      </c>
      <c r="B48" s="1" t="s">
        <v>55</v>
      </c>
      <c r="C48" s="24">
        <v>10000</v>
      </c>
      <c r="D48" s="1" t="s">
        <v>20</v>
      </c>
      <c r="E48" s="19">
        <v>3250</v>
      </c>
      <c r="F48" s="19">
        <v>1750</v>
      </c>
      <c r="G48" s="19">
        <v>5000</v>
      </c>
      <c r="H48" s="20" t="s">
        <v>151</v>
      </c>
      <c r="I48" s="2"/>
      <c r="J48" s="21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1"/>
    </row>
    <row r="49" spans="1:27" s="3" customFormat="1" ht="18" customHeight="1" x14ac:dyDescent="0.35">
      <c r="A49" s="17" t="s">
        <v>152</v>
      </c>
      <c r="B49" s="1" t="s">
        <v>153</v>
      </c>
      <c r="C49" s="24" t="s">
        <v>154</v>
      </c>
      <c r="D49" s="1" t="s">
        <v>20</v>
      </c>
      <c r="E49" s="19">
        <v>533</v>
      </c>
      <c r="F49" s="19">
        <v>287</v>
      </c>
      <c r="G49" s="19">
        <v>820</v>
      </c>
      <c r="H49" s="20" t="s">
        <v>155</v>
      </c>
      <c r="I49" s="2"/>
      <c r="J49" s="21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1"/>
    </row>
    <row r="50" spans="1:27" s="3" customFormat="1" ht="18" customHeight="1" x14ac:dyDescent="0.35">
      <c r="A50" s="17" t="s">
        <v>156</v>
      </c>
      <c r="B50" s="1" t="s">
        <v>92</v>
      </c>
      <c r="C50" s="28" t="s">
        <v>157</v>
      </c>
      <c r="D50" s="1" t="s">
        <v>20</v>
      </c>
      <c r="E50" s="19">
        <v>1300</v>
      </c>
      <c r="F50" s="19">
        <v>700</v>
      </c>
      <c r="G50" s="19">
        <v>2000</v>
      </c>
      <c r="H50" s="20" t="s">
        <v>158</v>
      </c>
      <c r="I50" s="2"/>
      <c r="J50" s="21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1"/>
    </row>
    <row r="51" spans="1:27" s="3" customFormat="1" ht="18" customHeight="1" x14ac:dyDescent="0.35">
      <c r="A51" s="17" t="s">
        <v>159</v>
      </c>
      <c r="B51" s="1" t="s">
        <v>160</v>
      </c>
      <c r="C51" s="24">
        <v>3000</v>
      </c>
      <c r="D51" s="1" t="s">
        <v>20</v>
      </c>
      <c r="E51" s="19">
        <v>1625</v>
      </c>
      <c r="F51" s="19">
        <v>875</v>
      </c>
      <c r="G51" s="19">
        <v>2500</v>
      </c>
      <c r="H51" s="20" t="s">
        <v>161</v>
      </c>
      <c r="I51" s="2"/>
      <c r="J51" s="21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1"/>
    </row>
    <row r="52" spans="1:27" s="3" customFormat="1" ht="18" customHeight="1" x14ac:dyDescent="0.35">
      <c r="A52" s="17" t="s">
        <v>162</v>
      </c>
      <c r="B52" s="1" t="s">
        <v>163</v>
      </c>
      <c r="C52" s="22" t="s">
        <v>164</v>
      </c>
      <c r="D52" s="1" t="s">
        <v>29</v>
      </c>
      <c r="E52" s="26">
        <v>100</v>
      </c>
      <c r="F52" s="22">
        <v>150</v>
      </c>
      <c r="G52" s="19">
        <v>250</v>
      </c>
      <c r="H52" s="20" t="s">
        <v>155</v>
      </c>
      <c r="I52" s="2"/>
      <c r="J52" s="21" t="s">
        <v>165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1"/>
    </row>
    <row r="53" spans="1:27" s="3" customFormat="1" ht="18" customHeight="1" x14ac:dyDescent="0.35">
      <c r="A53" s="17" t="s">
        <v>166</v>
      </c>
      <c r="B53" s="1" t="s">
        <v>167</v>
      </c>
      <c r="C53" s="22" t="s">
        <v>168</v>
      </c>
      <c r="D53" s="1" t="s">
        <v>20</v>
      </c>
      <c r="E53" s="26">
        <v>214.5</v>
      </c>
      <c r="F53" s="22">
        <v>115.49999999999999</v>
      </c>
      <c r="G53" s="19">
        <v>330</v>
      </c>
      <c r="H53" s="20" t="s">
        <v>155</v>
      </c>
      <c r="I53" s="2"/>
      <c r="J53" s="21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1"/>
    </row>
    <row r="54" spans="1:27" s="3" customFormat="1" ht="18" customHeight="1" x14ac:dyDescent="0.35">
      <c r="A54" s="17" t="s">
        <v>169</v>
      </c>
      <c r="B54" s="1" t="s">
        <v>170</v>
      </c>
      <c r="C54" s="23">
        <v>1500</v>
      </c>
      <c r="D54" s="1" t="s">
        <v>20</v>
      </c>
      <c r="E54" s="26">
        <v>975</v>
      </c>
      <c r="F54" s="22">
        <v>525</v>
      </c>
      <c r="G54" s="19">
        <v>1500</v>
      </c>
      <c r="H54" s="20" t="s">
        <v>171</v>
      </c>
      <c r="I54" s="2"/>
      <c r="J54" s="21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1"/>
    </row>
    <row r="55" spans="1:27" s="3" customFormat="1" ht="18" customHeight="1" x14ac:dyDescent="0.35">
      <c r="A55" s="17" t="s">
        <v>172</v>
      </c>
      <c r="B55" s="1" t="s">
        <v>173</v>
      </c>
      <c r="C55" s="23">
        <v>1500</v>
      </c>
      <c r="D55" s="1" t="s">
        <v>29</v>
      </c>
      <c r="E55" s="26">
        <v>600</v>
      </c>
      <c r="F55" s="22">
        <v>900</v>
      </c>
      <c r="G55" s="19">
        <v>1500</v>
      </c>
      <c r="H55" s="20" t="s">
        <v>174</v>
      </c>
      <c r="I55" s="2"/>
      <c r="J55" s="21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1"/>
    </row>
    <row r="56" spans="1:27" s="3" customFormat="1" ht="18" customHeight="1" x14ac:dyDescent="0.35">
      <c r="A56" s="17" t="s">
        <v>175</v>
      </c>
      <c r="B56" s="1" t="s">
        <v>127</v>
      </c>
      <c r="C56" s="23">
        <v>4000</v>
      </c>
      <c r="D56" s="1" t="s">
        <v>20</v>
      </c>
      <c r="E56" s="26">
        <v>2600</v>
      </c>
      <c r="F56" s="22">
        <v>1400</v>
      </c>
      <c r="G56" s="19">
        <v>4000</v>
      </c>
      <c r="H56" s="20" t="s">
        <v>176</v>
      </c>
      <c r="I56" s="2"/>
      <c r="J56" s="21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1"/>
    </row>
    <row r="57" spans="1:27" s="3" customFormat="1" ht="18" customHeight="1" x14ac:dyDescent="0.35">
      <c r="A57" s="17" t="s">
        <v>177</v>
      </c>
      <c r="B57" s="1" t="s">
        <v>114</v>
      </c>
      <c r="C57" s="23" t="s">
        <v>178</v>
      </c>
      <c r="D57" s="1" t="s">
        <v>20</v>
      </c>
      <c r="E57" s="22">
        <v>1007.16</v>
      </c>
      <c r="F57" s="3">
        <v>542.32000000000005</v>
      </c>
      <c r="G57" s="19">
        <v>1549.48</v>
      </c>
      <c r="H57" s="20" t="s">
        <v>179</v>
      </c>
      <c r="I57" s="2"/>
      <c r="J57" s="21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1"/>
    </row>
    <row r="58" spans="1:27" s="3" customFormat="1" ht="18" customHeight="1" x14ac:dyDescent="0.35">
      <c r="A58" s="17" t="s">
        <v>180</v>
      </c>
      <c r="B58" s="1" t="s">
        <v>167</v>
      </c>
      <c r="C58" s="23">
        <v>2500</v>
      </c>
      <c r="D58" s="1" t="s">
        <v>20</v>
      </c>
      <c r="E58" s="26">
        <v>1625</v>
      </c>
      <c r="F58" s="22">
        <v>875</v>
      </c>
      <c r="G58" s="19">
        <v>2500</v>
      </c>
      <c r="H58" s="20" t="s">
        <v>181</v>
      </c>
      <c r="I58" s="2"/>
      <c r="J58" s="21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1"/>
    </row>
    <row r="59" spans="1:27" s="3" customFormat="1" ht="18" customHeight="1" x14ac:dyDescent="0.35">
      <c r="A59" s="17" t="s">
        <v>182</v>
      </c>
      <c r="B59" s="1" t="s">
        <v>163</v>
      </c>
      <c r="C59" s="23" t="s">
        <v>183</v>
      </c>
      <c r="D59" s="1" t="s">
        <v>29</v>
      </c>
      <c r="E59" s="26">
        <v>4500</v>
      </c>
      <c r="F59" s="22">
        <v>6750</v>
      </c>
      <c r="G59" s="19">
        <v>11250</v>
      </c>
      <c r="H59" s="20" t="s">
        <v>176</v>
      </c>
      <c r="I59" s="2"/>
      <c r="J59" s="21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1"/>
    </row>
    <row r="60" spans="1:27" s="3" customFormat="1" ht="18" customHeight="1" x14ac:dyDescent="0.35">
      <c r="A60" s="17" t="s">
        <v>184</v>
      </c>
      <c r="B60" s="1" t="s">
        <v>163</v>
      </c>
      <c r="C60" s="23" t="s">
        <v>185</v>
      </c>
      <c r="D60" s="1" t="s">
        <v>20</v>
      </c>
      <c r="E60" s="26">
        <v>292.5</v>
      </c>
      <c r="F60" s="22">
        <v>157.5</v>
      </c>
      <c r="G60" s="19">
        <v>450</v>
      </c>
      <c r="H60" s="20" t="s">
        <v>186</v>
      </c>
      <c r="I60" s="2"/>
      <c r="J60" s="21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1"/>
    </row>
    <row r="61" spans="1:27" s="3" customFormat="1" ht="18" customHeight="1" x14ac:dyDescent="0.35">
      <c r="A61" s="17" t="s">
        <v>187</v>
      </c>
      <c r="B61" s="1" t="s">
        <v>167</v>
      </c>
      <c r="C61" s="23">
        <v>1500</v>
      </c>
      <c r="D61" s="1" t="s">
        <v>20</v>
      </c>
      <c r="E61" s="26">
        <v>325</v>
      </c>
      <c r="F61" s="22">
        <v>175</v>
      </c>
      <c r="G61" s="19">
        <v>500</v>
      </c>
      <c r="H61" s="20" t="s">
        <v>176</v>
      </c>
      <c r="I61" s="2"/>
      <c r="J61" s="21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1"/>
    </row>
    <row r="62" spans="1:27" s="3" customFormat="1" ht="18" customHeight="1" x14ac:dyDescent="0.35">
      <c r="A62" s="17" t="s">
        <v>188</v>
      </c>
      <c r="B62" s="1" t="s">
        <v>19</v>
      </c>
      <c r="C62" s="23">
        <v>1000</v>
      </c>
      <c r="D62" s="1" t="s">
        <v>29</v>
      </c>
      <c r="E62" s="26">
        <v>400</v>
      </c>
      <c r="F62" s="22">
        <v>600</v>
      </c>
      <c r="G62" s="19">
        <v>1000</v>
      </c>
      <c r="H62" s="20" t="s">
        <v>189</v>
      </c>
      <c r="I62" s="2"/>
      <c r="J62" s="21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1"/>
    </row>
    <row r="63" spans="1:27" s="3" customFormat="1" ht="18" customHeight="1" x14ac:dyDescent="0.35">
      <c r="A63" s="17" t="s">
        <v>116</v>
      </c>
      <c r="B63" s="1" t="s">
        <v>190</v>
      </c>
      <c r="C63" s="23">
        <v>250</v>
      </c>
      <c r="D63" s="1" t="s">
        <v>20</v>
      </c>
      <c r="E63" s="26">
        <v>162.5</v>
      </c>
      <c r="F63" s="22">
        <v>87.5</v>
      </c>
      <c r="G63" s="19">
        <v>250</v>
      </c>
      <c r="H63" s="20" t="s">
        <v>189</v>
      </c>
      <c r="I63" s="2"/>
      <c r="J63" s="21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1"/>
    </row>
    <row r="64" spans="1:27" s="3" customFormat="1" ht="18" customHeight="1" x14ac:dyDescent="0.35">
      <c r="A64" s="17" t="s">
        <v>191</v>
      </c>
      <c r="B64" s="1" t="s">
        <v>190</v>
      </c>
      <c r="C64" s="23">
        <v>250</v>
      </c>
      <c r="D64" s="1" t="s">
        <v>20</v>
      </c>
      <c r="E64" s="26">
        <v>162.5</v>
      </c>
      <c r="F64" s="22">
        <v>87.5</v>
      </c>
      <c r="G64" s="19">
        <v>250</v>
      </c>
      <c r="H64" s="20" t="s">
        <v>189</v>
      </c>
      <c r="I64" s="2"/>
      <c r="J64" s="21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1"/>
    </row>
    <row r="65" spans="1:27" s="3" customFormat="1" ht="18" customHeight="1" x14ac:dyDescent="0.35">
      <c r="A65" s="17" t="s">
        <v>192</v>
      </c>
      <c r="B65" s="1" t="s">
        <v>55</v>
      </c>
      <c r="C65" s="23">
        <v>2800</v>
      </c>
      <c r="D65" s="1" t="s">
        <v>20</v>
      </c>
      <c r="E65" s="26">
        <v>780</v>
      </c>
      <c r="F65" s="22">
        <v>420</v>
      </c>
      <c r="G65" s="19">
        <v>1200</v>
      </c>
      <c r="H65" s="20" t="s">
        <v>193</v>
      </c>
      <c r="I65" s="2"/>
      <c r="J65" s="21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1"/>
    </row>
    <row r="66" spans="1:27" s="3" customFormat="1" ht="18" customHeight="1" x14ac:dyDescent="0.35">
      <c r="A66" s="1" t="s">
        <v>194</v>
      </c>
      <c r="B66" s="1" t="s">
        <v>19</v>
      </c>
      <c r="C66" s="27">
        <v>0.3</v>
      </c>
      <c r="D66" s="1" t="s">
        <v>20</v>
      </c>
      <c r="E66" s="26">
        <v>1338.3</v>
      </c>
      <c r="F66" s="22">
        <v>720.64</v>
      </c>
      <c r="G66" s="19">
        <v>2058.94</v>
      </c>
      <c r="H66" s="20" t="s">
        <v>195</v>
      </c>
      <c r="I66" s="2"/>
      <c r="J66" s="21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1"/>
    </row>
    <row r="67" spans="1:27" s="3" customFormat="1" ht="18" customHeight="1" x14ac:dyDescent="0.35">
      <c r="A67" s="1" t="s">
        <v>196</v>
      </c>
      <c r="B67" s="1" t="s">
        <v>19</v>
      </c>
      <c r="C67" s="22" t="s">
        <v>197</v>
      </c>
      <c r="D67" s="1" t="s">
        <v>29</v>
      </c>
      <c r="E67" s="26">
        <v>48</v>
      </c>
      <c r="F67" s="22">
        <v>72</v>
      </c>
      <c r="G67" s="19">
        <v>120</v>
      </c>
      <c r="H67" s="20" t="s">
        <v>189</v>
      </c>
      <c r="I67" s="2"/>
      <c r="J67" s="21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1"/>
    </row>
    <row r="68" spans="1:27" s="3" customFormat="1" ht="18" customHeight="1" x14ac:dyDescent="0.35">
      <c r="A68" s="1" t="s">
        <v>198</v>
      </c>
      <c r="B68" s="1" t="s">
        <v>199</v>
      </c>
      <c r="C68" s="22" t="s">
        <v>200</v>
      </c>
      <c r="D68" s="1" t="s">
        <v>20</v>
      </c>
      <c r="E68" s="26">
        <v>427.3</v>
      </c>
      <c r="F68" s="22">
        <v>230.09</v>
      </c>
      <c r="G68" s="19">
        <v>657.39</v>
      </c>
      <c r="H68" s="20" t="s">
        <v>189</v>
      </c>
      <c r="I68" s="2"/>
      <c r="J68" s="21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1"/>
    </row>
    <row r="69" spans="1:27" s="3" customFormat="1" ht="18" customHeight="1" x14ac:dyDescent="0.35">
      <c r="A69" s="17" t="s">
        <v>201</v>
      </c>
      <c r="B69" s="1" t="s">
        <v>202</v>
      </c>
      <c r="C69" s="23"/>
      <c r="D69" s="1" t="s">
        <v>20</v>
      </c>
      <c r="E69" s="26">
        <v>325</v>
      </c>
      <c r="F69" s="22">
        <v>175</v>
      </c>
      <c r="G69" s="19">
        <v>500</v>
      </c>
      <c r="H69" s="20" t="s">
        <v>189</v>
      </c>
      <c r="I69" s="2"/>
      <c r="J69" s="21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1"/>
    </row>
    <row r="70" spans="1:27" s="3" customFormat="1" ht="18" customHeight="1" x14ac:dyDescent="0.35">
      <c r="A70" s="17" t="s">
        <v>203</v>
      </c>
      <c r="B70" s="1" t="s">
        <v>131</v>
      </c>
      <c r="C70" s="23" t="s">
        <v>204</v>
      </c>
      <c r="D70" s="1" t="s">
        <v>20</v>
      </c>
      <c r="E70" s="26">
        <v>455</v>
      </c>
      <c r="F70" s="22">
        <v>245</v>
      </c>
      <c r="G70" s="19">
        <v>700</v>
      </c>
      <c r="H70" s="20" t="s">
        <v>189</v>
      </c>
      <c r="I70" s="2"/>
      <c r="J70" s="21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1"/>
    </row>
    <row r="71" spans="1:27" s="3" customFormat="1" ht="18" customHeight="1" x14ac:dyDescent="0.35">
      <c r="A71" s="17" t="s">
        <v>129</v>
      </c>
      <c r="B71" s="1" t="s">
        <v>205</v>
      </c>
      <c r="C71" s="23">
        <v>2000</v>
      </c>
      <c r="D71" s="1" t="s">
        <v>20</v>
      </c>
      <c r="E71" s="26">
        <v>360.75</v>
      </c>
      <c r="F71" s="22">
        <v>194.25</v>
      </c>
      <c r="G71" s="19">
        <v>555</v>
      </c>
      <c r="H71" s="20" t="s">
        <v>206</v>
      </c>
      <c r="I71" s="2"/>
      <c r="J71" s="21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1"/>
    </row>
    <row r="72" spans="1:27" s="3" customFormat="1" ht="18" customHeight="1" x14ac:dyDescent="0.35">
      <c r="A72" s="17" t="s">
        <v>207</v>
      </c>
      <c r="B72" s="1" t="s">
        <v>153</v>
      </c>
      <c r="C72" s="23" t="s">
        <v>208</v>
      </c>
      <c r="D72" s="1" t="s">
        <v>20</v>
      </c>
      <c r="E72" s="26">
        <v>182.65</v>
      </c>
      <c r="F72" s="22">
        <v>98.35</v>
      </c>
      <c r="G72" s="19">
        <v>281</v>
      </c>
      <c r="H72" s="20" t="s">
        <v>189</v>
      </c>
      <c r="I72" s="2"/>
      <c r="J72" s="21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1"/>
    </row>
    <row r="73" spans="1:27" s="3" customFormat="1" ht="18" customHeight="1" x14ac:dyDescent="0.35">
      <c r="A73" s="17" t="s">
        <v>209</v>
      </c>
      <c r="B73" s="1" t="s">
        <v>163</v>
      </c>
      <c r="C73" s="23" t="s">
        <v>210</v>
      </c>
      <c r="D73" s="1" t="s">
        <v>29</v>
      </c>
      <c r="E73" s="26">
        <v>489.91</v>
      </c>
      <c r="F73" s="22">
        <v>734.87</v>
      </c>
      <c r="G73" s="19">
        <v>1224.78</v>
      </c>
      <c r="H73" s="20" t="s">
        <v>189</v>
      </c>
      <c r="I73" s="2"/>
      <c r="J73" s="21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1"/>
    </row>
    <row r="74" spans="1:27" s="3" customFormat="1" ht="18" customHeight="1" x14ac:dyDescent="0.35">
      <c r="A74" s="17" t="s">
        <v>211</v>
      </c>
      <c r="B74" s="1" t="s">
        <v>212</v>
      </c>
      <c r="C74" s="23">
        <v>180</v>
      </c>
      <c r="D74" s="1" t="s">
        <v>29</v>
      </c>
      <c r="E74" s="26">
        <v>72</v>
      </c>
      <c r="F74" s="22">
        <v>108</v>
      </c>
      <c r="G74" s="19">
        <v>180</v>
      </c>
      <c r="H74" s="20" t="s">
        <v>189</v>
      </c>
      <c r="I74" s="2"/>
      <c r="J74" s="21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1"/>
    </row>
    <row r="75" spans="1:27" s="3" customFormat="1" ht="18" customHeight="1" x14ac:dyDescent="0.35">
      <c r="A75" s="17" t="s">
        <v>213</v>
      </c>
      <c r="B75" s="1" t="s">
        <v>19</v>
      </c>
      <c r="C75" s="23" t="s">
        <v>214</v>
      </c>
      <c r="D75" s="1" t="s">
        <v>20</v>
      </c>
      <c r="E75" s="26">
        <v>1201.53</v>
      </c>
      <c r="F75" s="22">
        <v>646.98</v>
      </c>
      <c r="G75" s="19">
        <v>1848.51</v>
      </c>
      <c r="H75" s="20" t="s">
        <v>193</v>
      </c>
      <c r="I75" s="2"/>
      <c r="J75" s="21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1"/>
    </row>
    <row r="76" spans="1:27" s="3" customFormat="1" ht="18" customHeight="1" x14ac:dyDescent="0.35">
      <c r="A76" s="3" t="s">
        <v>215</v>
      </c>
      <c r="B76" s="3" t="s">
        <v>64</v>
      </c>
      <c r="C76" s="23">
        <v>4000</v>
      </c>
      <c r="D76" s="1" t="s">
        <v>29</v>
      </c>
      <c r="E76" s="26">
        <v>1600</v>
      </c>
      <c r="F76" s="22">
        <v>2400</v>
      </c>
      <c r="G76" s="19">
        <v>4000</v>
      </c>
      <c r="H76" s="20" t="s">
        <v>189</v>
      </c>
      <c r="I76" s="2"/>
      <c r="J76" s="21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1"/>
    </row>
    <row r="77" spans="1:27" s="3" customFormat="1" ht="18" customHeight="1" x14ac:dyDescent="0.35">
      <c r="A77" s="17" t="s">
        <v>216</v>
      </c>
      <c r="B77" s="1" t="s">
        <v>167</v>
      </c>
      <c r="C77" s="23">
        <v>2000</v>
      </c>
      <c r="D77" s="1" t="s">
        <v>20</v>
      </c>
      <c r="E77" s="26">
        <v>1300</v>
      </c>
      <c r="F77" s="22">
        <v>700</v>
      </c>
      <c r="G77" s="19">
        <v>2000</v>
      </c>
      <c r="H77" s="20" t="s">
        <v>217</v>
      </c>
      <c r="I77" s="2"/>
      <c r="J77" s="21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1"/>
    </row>
    <row r="78" spans="1:27" s="3" customFormat="1" ht="18" customHeight="1" x14ac:dyDescent="0.35">
      <c r="A78" s="17" t="s">
        <v>218</v>
      </c>
      <c r="B78" s="1" t="s">
        <v>219</v>
      </c>
      <c r="C78" s="23">
        <v>1500</v>
      </c>
      <c r="D78" s="1" t="s">
        <v>20</v>
      </c>
      <c r="E78" s="26">
        <v>975</v>
      </c>
      <c r="F78" s="22">
        <v>525</v>
      </c>
      <c r="G78" s="19">
        <v>1500</v>
      </c>
      <c r="H78" s="20" t="s">
        <v>220</v>
      </c>
      <c r="I78" s="2"/>
      <c r="J78" s="21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1"/>
    </row>
    <row r="79" spans="1:27" s="3" customFormat="1" ht="18" customHeight="1" x14ac:dyDescent="0.35">
      <c r="A79" s="17" t="s">
        <v>221</v>
      </c>
      <c r="B79" s="1" t="s">
        <v>24</v>
      </c>
      <c r="C79" s="23">
        <v>2500</v>
      </c>
      <c r="D79" s="1" t="s">
        <v>20</v>
      </c>
      <c r="E79" s="26">
        <v>227.5</v>
      </c>
      <c r="F79" s="22">
        <v>122.49999999999999</v>
      </c>
      <c r="G79" s="19">
        <v>350</v>
      </c>
      <c r="H79" s="20" t="s">
        <v>220</v>
      </c>
      <c r="I79" s="2"/>
      <c r="J79" s="21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1"/>
    </row>
    <row r="80" spans="1:27" s="3" customFormat="1" ht="18" customHeight="1" x14ac:dyDescent="0.35">
      <c r="A80" s="17" t="s">
        <v>222</v>
      </c>
      <c r="B80" s="1" t="s">
        <v>142</v>
      </c>
      <c r="C80" s="23">
        <v>2500</v>
      </c>
      <c r="D80" s="1" t="s">
        <v>29</v>
      </c>
      <c r="E80" s="26">
        <v>1000</v>
      </c>
      <c r="F80" s="22">
        <v>1500</v>
      </c>
      <c r="G80" s="19">
        <v>2500</v>
      </c>
      <c r="H80" s="20" t="s">
        <v>223</v>
      </c>
      <c r="I80" s="2"/>
      <c r="J80" s="21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1"/>
    </row>
    <row r="81" spans="1:27" s="3" customFormat="1" ht="18" customHeight="1" x14ac:dyDescent="0.35">
      <c r="A81" s="17" t="s">
        <v>224</v>
      </c>
      <c r="B81" s="1" t="s">
        <v>142</v>
      </c>
      <c r="C81" s="23">
        <v>2500</v>
      </c>
      <c r="D81" s="1" t="s">
        <v>29</v>
      </c>
      <c r="E81" s="26">
        <v>1000</v>
      </c>
      <c r="F81" s="22">
        <v>1500</v>
      </c>
      <c r="G81" s="19">
        <v>2500</v>
      </c>
      <c r="H81" s="20" t="s">
        <v>225</v>
      </c>
      <c r="I81" s="2"/>
      <c r="J81" s="21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1"/>
    </row>
    <row r="82" spans="1:27" s="3" customFormat="1" ht="18" customHeight="1" x14ac:dyDescent="0.35">
      <c r="A82" s="3" t="s">
        <v>226</v>
      </c>
      <c r="B82" s="1" t="s">
        <v>92</v>
      </c>
      <c r="C82" s="23">
        <v>4000</v>
      </c>
      <c r="D82" s="1" t="s">
        <v>29</v>
      </c>
      <c r="E82" s="26">
        <v>640</v>
      </c>
      <c r="F82" s="22">
        <v>960</v>
      </c>
      <c r="G82" s="19">
        <v>1600</v>
      </c>
      <c r="H82" s="20" t="s">
        <v>227</v>
      </c>
      <c r="I82" s="2"/>
      <c r="J82" s="21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1"/>
    </row>
    <row r="83" spans="1:27" s="3" customFormat="1" ht="18" customHeight="1" x14ac:dyDescent="0.35">
      <c r="A83" s="17" t="s">
        <v>228</v>
      </c>
      <c r="B83" s="1" t="s">
        <v>142</v>
      </c>
      <c r="C83" s="23">
        <v>3500</v>
      </c>
      <c r="D83" s="1" t="s">
        <v>29</v>
      </c>
      <c r="E83" s="26">
        <v>360</v>
      </c>
      <c r="F83" s="22">
        <v>540</v>
      </c>
      <c r="G83" s="19">
        <v>900</v>
      </c>
      <c r="H83" s="20" t="s">
        <v>229</v>
      </c>
      <c r="I83" s="2"/>
      <c r="J83" s="21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1"/>
    </row>
    <row r="84" spans="1:27" s="3" customFormat="1" ht="18" customHeight="1" x14ac:dyDescent="0.35">
      <c r="A84" s="17" t="s">
        <v>230</v>
      </c>
      <c r="B84" s="1" t="s">
        <v>231</v>
      </c>
      <c r="C84" s="23" t="s">
        <v>232</v>
      </c>
      <c r="D84" s="1" t="s">
        <v>29</v>
      </c>
      <c r="E84" s="26">
        <v>420</v>
      </c>
      <c r="F84" s="22">
        <v>630</v>
      </c>
      <c r="G84" s="19">
        <v>1050</v>
      </c>
      <c r="H84" s="20" t="s">
        <v>233</v>
      </c>
      <c r="I84" s="2"/>
      <c r="J84" s="21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1"/>
    </row>
    <row r="85" spans="1:27" s="3" customFormat="1" ht="18" customHeight="1" x14ac:dyDescent="0.35">
      <c r="A85" s="17" t="s">
        <v>234</v>
      </c>
      <c r="B85" s="1" t="s">
        <v>231</v>
      </c>
      <c r="C85" s="23">
        <v>5000</v>
      </c>
      <c r="D85" s="1" t="s">
        <v>29</v>
      </c>
      <c r="E85" s="26">
        <v>800</v>
      </c>
      <c r="F85" s="22">
        <v>1200</v>
      </c>
      <c r="G85" s="19">
        <v>2000</v>
      </c>
      <c r="H85" s="20" t="s">
        <v>235</v>
      </c>
      <c r="I85" s="2"/>
      <c r="J85" s="21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1"/>
    </row>
    <row r="86" spans="1:27" s="3" customFormat="1" ht="18" customHeight="1" x14ac:dyDescent="0.35">
      <c r="A86" s="17" t="s">
        <v>106</v>
      </c>
      <c r="B86" s="1" t="s">
        <v>163</v>
      </c>
      <c r="C86" s="23" t="s">
        <v>236</v>
      </c>
      <c r="D86" s="1" t="s">
        <v>29</v>
      </c>
      <c r="E86" s="26">
        <v>192</v>
      </c>
      <c r="F86" s="22">
        <v>288</v>
      </c>
      <c r="G86" s="19">
        <v>480</v>
      </c>
      <c r="H86" s="20" t="s">
        <v>237</v>
      </c>
      <c r="I86" s="2"/>
      <c r="J86" s="21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1"/>
    </row>
    <row r="87" spans="1:27" s="3" customFormat="1" ht="18" customHeight="1" x14ac:dyDescent="0.35">
      <c r="A87" s="17" t="s">
        <v>238</v>
      </c>
      <c r="B87" s="1" t="s">
        <v>239</v>
      </c>
      <c r="C87" s="23">
        <v>3000</v>
      </c>
      <c r="D87" s="1" t="s">
        <v>29</v>
      </c>
      <c r="E87" s="26">
        <v>1200</v>
      </c>
      <c r="F87" s="22">
        <v>1800</v>
      </c>
      <c r="G87" s="19">
        <v>3000</v>
      </c>
      <c r="H87" s="20" t="s">
        <v>233</v>
      </c>
      <c r="I87" s="2"/>
      <c r="J87" s="21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1"/>
    </row>
    <row r="88" spans="1:27" s="3" customFormat="1" ht="18" customHeight="1" x14ac:dyDescent="0.35">
      <c r="A88" s="17" t="s">
        <v>240</v>
      </c>
      <c r="B88" s="1" t="s">
        <v>241</v>
      </c>
      <c r="C88" s="22" t="s">
        <v>242</v>
      </c>
      <c r="D88" s="1" t="s">
        <v>20</v>
      </c>
      <c r="E88" s="26">
        <v>737.58100000000002</v>
      </c>
      <c r="F88" s="26">
        <v>397.15899999999999</v>
      </c>
      <c r="G88" s="19">
        <v>1134.74</v>
      </c>
      <c r="H88" s="20" t="s">
        <v>237</v>
      </c>
      <c r="I88" s="2"/>
      <c r="J88" s="21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1"/>
    </row>
    <row r="89" spans="1:27" s="3" customFormat="1" ht="18" customHeight="1" x14ac:dyDescent="0.35">
      <c r="A89" s="17" t="s">
        <v>243</v>
      </c>
      <c r="B89" s="1" t="s">
        <v>79</v>
      </c>
      <c r="C89" s="22">
        <v>4500</v>
      </c>
      <c r="D89" s="1" t="s">
        <v>20</v>
      </c>
      <c r="E89" s="26">
        <v>1625</v>
      </c>
      <c r="F89" s="26">
        <v>875</v>
      </c>
      <c r="G89" s="19">
        <v>2500</v>
      </c>
      <c r="H89" s="20" t="s">
        <v>235</v>
      </c>
      <c r="I89" s="2"/>
      <c r="J89" s="21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1"/>
    </row>
    <row r="90" spans="1:27" s="3" customFormat="1" ht="18" customHeight="1" x14ac:dyDescent="0.35">
      <c r="A90" s="17" t="s">
        <v>228</v>
      </c>
      <c r="B90" s="1" t="s">
        <v>212</v>
      </c>
      <c r="C90" s="22" t="s">
        <v>244</v>
      </c>
      <c r="D90" s="1" t="s">
        <v>29</v>
      </c>
      <c r="E90" s="26">
        <v>480</v>
      </c>
      <c r="F90" s="26">
        <v>720</v>
      </c>
      <c r="G90" s="19">
        <v>1200</v>
      </c>
      <c r="H90" s="20" t="s">
        <v>235</v>
      </c>
      <c r="I90" s="2"/>
      <c r="J90" s="21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1"/>
    </row>
    <row r="91" spans="1:27" s="3" customFormat="1" ht="18" customHeight="1" x14ac:dyDescent="0.35">
      <c r="A91" s="17" t="s">
        <v>245</v>
      </c>
      <c r="B91" s="1" t="s">
        <v>246</v>
      </c>
      <c r="C91" s="23">
        <v>2000</v>
      </c>
      <c r="D91" s="1" t="s">
        <v>20</v>
      </c>
      <c r="E91" s="26">
        <v>1300</v>
      </c>
      <c r="F91" s="26">
        <v>700</v>
      </c>
      <c r="G91" s="19">
        <v>2000</v>
      </c>
      <c r="H91" s="20" t="s">
        <v>235</v>
      </c>
      <c r="I91" s="2"/>
      <c r="J91" s="21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1"/>
    </row>
    <row r="92" spans="1:27" s="3" customFormat="1" ht="18" customHeight="1" x14ac:dyDescent="0.35">
      <c r="A92" s="17" t="s">
        <v>247</v>
      </c>
      <c r="B92" s="1" t="s">
        <v>167</v>
      </c>
      <c r="C92" s="23">
        <v>800</v>
      </c>
      <c r="D92" s="1" t="s">
        <v>248</v>
      </c>
      <c r="E92" s="26">
        <v>0</v>
      </c>
      <c r="F92" s="26">
        <v>500</v>
      </c>
      <c r="G92" s="19">
        <v>500</v>
      </c>
      <c r="H92" s="20" t="s">
        <v>237</v>
      </c>
      <c r="I92" s="2"/>
      <c r="J92" s="21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1"/>
    </row>
    <row r="93" spans="1:27" s="3" customFormat="1" ht="18" customHeight="1" x14ac:dyDescent="0.35">
      <c r="A93" s="17" t="s">
        <v>249</v>
      </c>
      <c r="B93" s="1" t="s">
        <v>33</v>
      </c>
      <c r="C93" s="23">
        <v>3000</v>
      </c>
      <c r="D93" s="1" t="s">
        <v>20</v>
      </c>
      <c r="E93" s="26">
        <v>1950</v>
      </c>
      <c r="F93" s="26">
        <v>1050</v>
      </c>
      <c r="G93" s="19">
        <v>3000</v>
      </c>
      <c r="H93" s="20" t="s">
        <v>237</v>
      </c>
      <c r="I93" s="2"/>
      <c r="J93" s="21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1"/>
    </row>
    <row r="94" spans="1:27" s="3" customFormat="1" ht="18" customHeight="1" x14ac:dyDescent="0.35">
      <c r="A94" s="17" t="s">
        <v>250</v>
      </c>
      <c r="B94" s="1" t="s">
        <v>251</v>
      </c>
      <c r="C94" s="23" t="s">
        <v>252</v>
      </c>
      <c r="D94" s="1" t="s">
        <v>29</v>
      </c>
      <c r="E94" s="26">
        <v>420</v>
      </c>
      <c r="F94" s="26">
        <v>630</v>
      </c>
      <c r="G94" s="19">
        <v>1050</v>
      </c>
      <c r="H94" s="20" t="s">
        <v>237</v>
      </c>
      <c r="I94" s="2"/>
      <c r="J94" s="21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1"/>
    </row>
    <row r="95" spans="1:27" s="3" customFormat="1" ht="18" customHeight="1" x14ac:dyDescent="0.35">
      <c r="A95" s="17" t="s">
        <v>253</v>
      </c>
      <c r="B95" s="1" t="s">
        <v>251</v>
      </c>
      <c r="C95" s="22" t="s">
        <v>254</v>
      </c>
      <c r="D95" s="1" t="s">
        <v>20</v>
      </c>
      <c r="E95" s="26">
        <v>1300</v>
      </c>
      <c r="F95" s="26">
        <v>700</v>
      </c>
      <c r="G95" s="19">
        <v>2000</v>
      </c>
      <c r="H95" s="20" t="s">
        <v>237</v>
      </c>
      <c r="I95" s="2"/>
      <c r="J95" s="21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1"/>
    </row>
    <row r="96" spans="1:27" s="3" customFormat="1" ht="18" customHeight="1" x14ac:dyDescent="0.35">
      <c r="A96" s="17" t="s">
        <v>255</v>
      </c>
      <c r="B96" s="1" t="s">
        <v>256</v>
      </c>
      <c r="C96" s="23">
        <v>2800</v>
      </c>
      <c r="D96" s="1" t="s">
        <v>20</v>
      </c>
      <c r="E96" s="26">
        <v>728</v>
      </c>
      <c r="F96" s="26">
        <v>392</v>
      </c>
      <c r="G96" s="19">
        <v>1120</v>
      </c>
      <c r="H96" s="20" t="s">
        <v>235</v>
      </c>
      <c r="I96" s="2"/>
      <c r="J96" s="21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1"/>
    </row>
    <row r="97" spans="1:27" s="3" customFormat="1" ht="18" customHeight="1" x14ac:dyDescent="0.35">
      <c r="A97" s="17" t="s">
        <v>257</v>
      </c>
      <c r="B97" s="1" t="s">
        <v>258</v>
      </c>
      <c r="C97" s="23">
        <v>2500</v>
      </c>
      <c r="D97" s="1" t="s">
        <v>20</v>
      </c>
      <c r="E97" s="26">
        <v>1625</v>
      </c>
      <c r="F97" s="26">
        <v>875</v>
      </c>
      <c r="G97" s="19">
        <v>2500</v>
      </c>
      <c r="H97" s="20" t="s">
        <v>237</v>
      </c>
      <c r="I97" s="2"/>
      <c r="J97" s="21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1"/>
    </row>
    <row r="98" spans="1:27" s="3" customFormat="1" ht="18" customHeight="1" x14ac:dyDescent="0.35">
      <c r="A98" s="17" t="s">
        <v>259</v>
      </c>
      <c r="B98" s="1" t="s">
        <v>33</v>
      </c>
      <c r="C98" s="23"/>
      <c r="D98" s="1" t="s">
        <v>20</v>
      </c>
      <c r="E98" s="26">
        <v>650</v>
      </c>
      <c r="F98" s="26">
        <v>350</v>
      </c>
      <c r="G98" s="19">
        <v>1000</v>
      </c>
      <c r="H98" s="20" t="s">
        <v>260</v>
      </c>
      <c r="I98" s="2"/>
      <c r="J98" s="21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1"/>
    </row>
    <row r="99" spans="1:27" s="3" customFormat="1" ht="18" customHeight="1" x14ac:dyDescent="0.35">
      <c r="A99" s="17" t="s">
        <v>261</v>
      </c>
      <c r="B99" s="1" t="s">
        <v>262</v>
      </c>
      <c r="C99" s="23" t="s">
        <v>263</v>
      </c>
      <c r="D99" s="1" t="s">
        <v>20</v>
      </c>
      <c r="E99" s="26">
        <v>4225</v>
      </c>
      <c r="F99" s="26">
        <v>2275</v>
      </c>
      <c r="G99" s="19">
        <v>6500</v>
      </c>
      <c r="H99" s="20" t="s">
        <v>233</v>
      </c>
      <c r="I99" s="2"/>
      <c r="J99" s="21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1"/>
    </row>
    <row r="100" spans="1:27" s="3" customFormat="1" ht="18" customHeight="1" x14ac:dyDescent="0.35">
      <c r="A100" s="17" t="s">
        <v>253</v>
      </c>
      <c r="B100" s="1" t="s">
        <v>264</v>
      </c>
      <c r="C100" s="23" t="s">
        <v>265</v>
      </c>
      <c r="D100" s="1" t="s">
        <v>20</v>
      </c>
      <c r="E100" s="26">
        <v>650</v>
      </c>
      <c r="F100" s="26">
        <v>350</v>
      </c>
      <c r="G100" s="19">
        <v>1000</v>
      </c>
      <c r="H100" s="20" t="s">
        <v>266</v>
      </c>
      <c r="I100" s="2"/>
      <c r="J100" s="21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1"/>
    </row>
    <row r="101" spans="1:27" s="3" customFormat="1" ht="18" customHeight="1" x14ac:dyDescent="0.35">
      <c r="A101" s="17" t="s">
        <v>267</v>
      </c>
      <c r="B101" s="1" t="s">
        <v>167</v>
      </c>
      <c r="C101" s="23">
        <v>5000</v>
      </c>
      <c r="D101" s="1" t="s">
        <v>20</v>
      </c>
      <c r="E101" s="26">
        <v>3250</v>
      </c>
      <c r="F101" s="26">
        <v>1750</v>
      </c>
      <c r="G101" s="19">
        <v>5000</v>
      </c>
      <c r="H101" s="20" t="s">
        <v>266</v>
      </c>
      <c r="I101" s="2"/>
      <c r="J101" s="21" t="s">
        <v>268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1"/>
    </row>
    <row r="102" spans="1:27" s="3" customFormat="1" ht="18" customHeight="1" x14ac:dyDescent="0.35">
      <c r="A102" s="17" t="s">
        <v>269</v>
      </c>
      <c r="B102" s="1" t="s">
        <v>251</v>
      </c>
      <c r="C102" s="23" t="s">
        <v>270</v>
      </c>
      <c r="D102" s="1" t="s">
        <v>29</v>
      </c>
      <c r="E102" s="26">
        <v>720</v>
      </c>
      <c r="F102" s="26">
        <v>1080</v>
      </c>
      <c r="G102" s="19">
        <v>1800</v>
      </c>
      <c r="H102" s="20" t="s">
        <v>271</v>
      </c>
      <c r="I102" s="2"/>
      <c r="J102" s="21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1"/>
    </row>
    <row r="103" spans="1:27" s="3" customFormat="1" ht="18" customHeight="1" x14ac:dyDescent="0.35">
      <c r="A103" s="17" t="s">
        <v>272</v>
      </c>
      <c r="B103" s="1" t="s">
        <v>273</v>
      </c>
      <c r="C103" s="22">
        <v>1300</v>
      </c>
      <c r="D103" s="1" t="s">
        <v>29</v>
      </c>
      <c r="E103" s="26">
        <v>240</v>
      </c>
      <c r="F103" s="26">
        <v>360</v>
      </c>
      <c r="G103" s="19">
        <v>600</v>
      </c>
      <c r="H103" s="20" t="s">
        <v>271</v>
      </c>
      <c r="I103" s="2"/>
      <c r="J103" s="21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1"/>
    </row>
    <row r="104" spans="1:27" s="3" customFormat="1" ht="18" customHeight="1" x14ac:dyDescent="0.35">
      <c r="A104" s="17" t="s">
        <v>274</v>
      </c>
      <c r="B104" s="1" t="s">
        <v>275</v>
      </c>
      <c r="C104" s="22">
        <v>150</v>
      </c>
      <c r="D104" s="1" t="s">
        <v>29</v>
      </c>
      <c r="E104" s="26">
        <v>60</v>
      </c>
      <c r="F104" s="26">
        <v>90</v>
      </c>
      <c r="G104" s="19">
        <v>150</v>
      </c>
      <c r="H104" s="20" t="s">
        <v>266</v>
      </c>
      <c r="I104" s="2"/>
      <c r="J104" s="21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1"/>
    </row>
    <row r="105" spans="1:27" s="3" customFormat="1" ht="18" customHeight="1" x14ac:dyDescent="0.35">
      <c r="A105" s="17" t="s">
        <v>276</v>
      </c>
      <c r="B105" s="1" t="s">
        <v>277</v>
      </c>
      <c r="C105" s="22">
        <v>2000</v>
      </c>
      <c r="D105" s="1" t="s">
        <v>29</v>
      </c>
      <c r="E105" s="26">
        <v>800</v>
      </c>
      <c r="F105" s="26">
        <v>1200</v>
      </c>
      <c r="G105" s="19">
        <v>2000</v>
      </c>
      <c r="H105" s="20" t="s">
        <v>266</v>
      </c>
      <c r="I105" s="2"/>
      <c r="J105" s="21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1"/>
    </row>
    <row r="106" spans="1:27" s="3" customFormat="1" ht="18" customHeight="1" x14ac:dyDescent="0.35">
      <c r="A106" s="17" t="s">
        <v>278</v>
      </c>
      <c r="B106" s="1" t="s">
        <v>279</v>
      </c>
      <c r="C106" s="22"/>
      <c r="D106" s="1" t="s">
        <v>29</v>
      </c>
      <c r="E106" s="26">
        <v>240</v>
      </c>
      <c r="F106" s="26">
        <v>360</v>
      </c>
      <c r="G106" s="19">
        <v>600</v>
      </c>
      <c r="H106" s="20" t="s">
        <v>280</v>
      </c>
      <c r="I106" s="2"/>
      <c r="J106" s="21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1"/>
    </row>
    <row r="107" spans="1:27" s="3" customFormat="1" ht="18" customHeight="1" x14ac:dyDescent="0.35">
      <c r="A107" s="17" t="s">
        <v>281</v>
      </c>
      <c r="B107" s="1" t="s">
        <v>167</v>
      </c>
      <c r="C107" s="22" t="s">
        <v>282</v>
      </c>
      <c r="D107" s="1" t="s">
        <v>20</v>
      </c>
      <c r="E107" s="26">
        <v>558.35</v>
      </c>
      <c r="F107" s="26">
        <v>300.64999999999998</v>
      </c>
      <c r="G107" s="19">
        <v>859</v>
      </c>
      <c r="H107" s="20" t="s">
        <v>280</v>
      </c>
      <c r="I107" s="2"/>
      <c r="J107" s="21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1"/>
    </row>
    <row r="108" spans="1:27" s="3" customFormat="1" ht="18" customHeight="1" x14ac:dyDescent="0.35">
      <c r="A108" s="17" t="s">
        <v>283</v>
      </c>
      <c r="B108" s="1" t="s">
        <v>241</v>
      </c>
      <c r="C108" s="22">
        <v>5000</v>
      </c>
      <c r="D108" s="1" t="s">
        <v>20</v>
      </c>
      <c r="E108" s="26">
        <v>975</v>
      </c>
      <c r="F108" s="26">
        <v>525</v>
      </c>
      <c r="G108" s="19">
        <v>1500</v>
      </c>
      <c r="H108" s="20" t="s">
        <v>284</v>
      </c>
      <c r="I108" s="2"/>
      <c r="J108" s="21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1"/>
    </row>
    <row r="109" spans="1:27" s="3" customFormat="1" ht="18" customHeight="1" x14ac:dyDescent="0.35">
      <c r="A109" s="17" t="s">
        <v>285</v>
      </c>
      <c r="B109" s="1" t="s">
        <v>55</v>
      </c>
      <c r="C109" s="23">
        <v>2500</v>
      </c>
      <c r="D109" s="1" t="s">
        <v>29</v>
      </c>
      <c r="E109" s="26">
        <v>300</v>
      </c>
      <c r="F109" s="26">
        <v>450</v>
      </c>
      <c r="G109" s="19">
        <v>750</v>
      </c>
      <c r="H109" s="20" t="s">
        <v>284</v>
      </c>
      <c r="I109" s="2"/>
      <c r="J109" s="21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1"/>
    </row>
    <row r="110" spans="1:27" s="3" customFormat="1" ht="18" customHeight="1" x14ac:dyDescent="0.35">
      <c r="A110" s="17" t="s">
        <v>286</v>
      </c>
      <c r="B110" s="1" t="s">
        <v>287</v>
      </c>
      <c r="C110" s="22">
        <v>15000</v>
      </c>
      <c r="D110" s="1" t="s">
        <v>20</v>
      </c>
      <c r="E110" s="26">
        <v>1950</v>
      </c>
      <c r="F110" s="26">
        <v>1050</v>
      </c>
      <c r="G110" s="19">
        <v>3000</v>
      </c>
      <c r="H110" s="20" t="s">
        <v>288</v>
      </c>
      <c r="I110" s="2"/>
      <c r="J110" s="21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1"/>
    </row>
    <row r="111" spans="1:27" s="3" customFormat="1" ht="18" customHeight="1" x14ac:dyDescent="0.35">
      <c r="A111" s="17" t="s">
        <v>289</v>
      </c>
      <c r="B111" s="1" t="s">
        <v>279</v>
      </c>
      <c r="C111" s="22">
        <v>2500</v>
      </c>
      <c r="D111" s="1" t="s">
        <v>29</v>
      </c>
      <c r="E111" s="26">
        <v>400</v>
      </c>
      <c r="F111" s="26">
        <v>600</v>
      </c>
      <c r="G111" s="19">
        <v>1000</v>
      </c>
      <c r="H111" s="20" t="s">
        <v>284</v>
      </c>
      <c r="I111" s="2"/>
      <c r="J111" s="21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1"/>
    </row>
    <row r="112" spans="1:27" s="3" customFormat="1" ht="18" customHeight="1" x14ac:dyDescent="0.35">
      <c r="A112" s="17" t="s">
        <v>290</v>
      </c>
      <c r="B112" s="1" t="s">
        <v>279</v>
      </c>
      <c r="C112" s="22"/>
      <c r="D112" s="1" t="s">
        <v>29</v>
      </c>
      <c r="E112" s="26">
        <v>200</v>
      </c>
      <c r="F112" s="26">
        <v>300</v>
      </c>
      <c r="G112" s="19">
        <v>500</v>
      </c>
      <c r="H112" s="20" t="s">
        <v>284</v>
      </c>
      <c r="I112" s="2"/>
      <c r="J112" s="21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1"/>
    </row>
    <row r="113" spans="1:27" s="3" customFormat="1" ht="18" customHeight="1" x14ac:dyDescent="0.35">
      <c r="A113" s="17" t="s">
        <v>291</v>
      </c>
      <c r="B113" s="1" t="s">
        <v>292</v>
      </c>
      <c r="C113" s="22">
        <v>5000</v>
      </c>
      <c r="D113" s="1" t="s">
        <v>29</v>
      </c>
      <c r="E113" s="26">
        <v>800</v>
      </c>
      <c r="F113" s="26">
        <v>1200</v>
      </c>
      <c r="G113" s="19">
        <v>2000</v>
      </c>
      <c r="H113" s="20" t="s">
        <v>284</v>
      </c>
      <c r="I113" s="2"/>
      <c r="J113" s="21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1"/>
    </row>
    <row r="114" spans="1:27" s="3" customFormat="1" ht="18" customHeight="1" x14ac:dyDescent="0.35">
      <c r="A114" s="17" t="s">
        <v>253</v>
      </c>
      <c r="B114" s="1" t="s">
        <v>293</v>
      </c>
      <c r="C114" s="22" t="s">
        <v>294</v>
      </c>
      <c r="D114" s="1" t="s">
        <v>20</v>
      </c>
      <c r="E114" s="26">
        <v>390</v>
      </c>
      <c r="F114" s="26">
        <v>210</v>
      </c>
      <c r="G114" s="19">
        <v>600</v>
      </c>
      <c r="H114" s="20" t="s">
        <v>284</v>
      </c>
      <c r="I114" s="2"/>
      <c r="J114" s="21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1"/>
    </row>
    <row r="115" spans="1:27" s="3" customFormat="1" ht="18" customHeight="1" x14ac:dyDescent="0.35">
      <c r="A115" s="17" t="s">
        <v>295</v>
      </c>
      <c r="B115" s="1" t="s">
        <v>167</v>
      </c>
      <c r="C115" s="22">
        <v>4000</v>
      </c>
      <c r="D115" s="1" t="s">
        <v>20</v>
      </c>
      <c r="E115" s="26">
        <v>1300</v>
      </c>
      <c r="F115" s="26">
        <v>700</v>
      </c>
      <c r="G115" s="19">
        <v>2000</v>
      </c>
      <c r="H115" s="20" t="s">
        <v>284</v>
      </c>
      <c r="I115" s="2"/>
      <c r="J115" s="21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1"/>
    </row>
    <row r="116" spans="1:27" s="3" customFormat="1" ht="18" customHeight="1" x14ac:dyDescent="0.35">
      <c r="A116" s="17" t="s">
        <v>296</v>
      </c>
      <c r="B116" s="1" t="s">
        <v>297</v>
      </c>
      <c r="C116" s="22" t="s">
        <v>298</v>
      </c>
      <c r="D116" s="1" t="s">
        <v>20</v>
      </c>
      <c r="E116" s="26">
        <v>2548.5070000000001</v>
      </c>
      <c r="F116" s="26">
        <v>1372.2729999999999</v>
      </c>
      <c r="G116" s="19">
        <v>3920.7799999999997</v>
      </c>
      <c r="H116" s="20" t="s">
        <v>288</v>
      </c>
      <c r="I116" s="2"/>
      <c r="J116" s="21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1"/>
    </row>
    <row r="117" spans="1:27" s="3" customFormat="1" ht="18" customHeight="1" x14ac:dyDescent="0.35">
      <c r="A117" s="17" t="s">
        <v>48</v>
      </c>
      <c r="B117" s="1" t="s">
        <v>167</v>
      </c>
      <c r="C117" s="22">
        <v>2500</v>
      </c>
      <c r="D117" s="1" t="s">
        <v>20</v>
      </c>
      <c r="E117" s="26">
        <v>1624.3500000000001</v>
      </c>
      <c r="F117" s="26">
        <v>874.65000000000009</v>
      </c>
      <c r="G117" s="19">
        <v>2499</v>
      </c>
      <c r="H117" s="20" t="s">
        <v>284</v>
      </c>
      <c r="I117" s="2"/>
      <c r="J117" s="21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1"/>
    </row>
    <row r="118" spans="1:27" s="3" customFormat="1" ht="18" customHeight="1" x14ac:dyDescent="0.35">
      <c r="A118" s="17" t="s">
        <v>299</v>
      </c>
      <c r="B118" s="1" t="s">
        <v>275</v>
      </c>
      <c r="C118" s="22">
        <v>800</v>
      </c>
      <c r="D118" s="1" t="s">
        <v>29</v>
      </c>
      <c r="E118" s="26">
        <v>280</v>
      </c>
      <c r="F118" s="26">
        <v>420</v>
      </c>
      <c r="G118" s="19">
        <v>700</v>
      </c>
      <c r="H118" s="20" t="s">
        <v>284</v>
      </c>
      <c r="I118" s="2"/>
      <c r="J118" s="21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1"/>
    </row>
    <row r="119" spans="1:27" s="3" customFormat="1" ht="18" customHeight="1" x14ac:dyDescent="0.35">
      <c r="A119" s="17" t="s">
        <v>300</v>
      </c>
      <c r="B119" s="1" t="s">
        <v>19</v>
      </c>
      <c r="C119" s="22" t="s">
        <v>301</v>
      </c>
      <c r="D119" s="1" t="s">
        <v>20</v>
      </c>
      <c r="E119" s="26">
        <v>227.5</v>
      </c>
      <c r="F119" s="26">
        <v>122.5</v>
      </c>
      <c r="G119" s="19">
        <v>350</v>
      </c>
      <c r="H119" s="20" t="s">
        <v>288</v>
      </c>
      <c r="I119" s="2"/>
      <c r="J119" s="21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1"/>
    </row>
    <row r="120" spans="1:27" s="3" customFormat="1" ht="18" customHeight="1" x14ac:dyDescent="0.35">
      <c r="A120" s="17" t="s">
        <v>302</v>
      </c>
      <c r="B120" s="1"/>
      <c r="C120" s="22"/>
      <c r="D120" s="1" t="s">
        <v>29</v>
      </c>
      <c r="E120" s="26">
        <v>320</v>
      </c>
      <c r="F120" s="26">
        <v>480</v>
      </c>
      <c r="G120" s="19">
        <v>800</v>
      </c>
      <c r="H120" s="20" t="s">
        <v>284</v>
      </c>
      <c r="I120" s="2"/>
      <c r="J120" s="21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1"/>
    </row>
    <row r="121" spans="1:27" s="3" customFormat="1" ht="18" customHeight="1" x14ac:dyDescent="0.35">
      <c r="A121" s="17" t="s">
        <v>303</v>
      </c>
      <c r="B121" s="1" t="s">
        <v>304</v>
      </c>
      <c r="C121" s="22" t="s">
        <v>305</v>
      </c>
      <c r="D121" s="1" t="s">
        <v>29</v>
      </c>
      <c r="E121" s="26">
        <v>16.260000000000002</v>
      </c>
      <c r="F121" s="26">
        <v>24.39</v>
      </c>
      <c r="G121" s="19">
        <v>40.650000000000006</v>
      </c>
      <c r="H121" s="20" t="s">
        <v>288</v>
      </c>
      <c r="I121" s="2"/>
      <c r="J121" s="21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1"/>
    </row>
    <row r="122" spans="1:27" s="3" customFormat="1" ht="18" customHeight="1" x14ac:dyDescent="0.35">
      <c r="A122" s="17" t="s">
        <v>306</v>
      </c>
      <c r="B122" s="1" t="s">
        <v>251</v>
      </c>
      <c r="C122" s="22" t="s">
        <v>307</v>
      </c>
      <c r="D122" s="1" t="s">
        <v>20</v>
      </c>
      <c r="E122" s="26">
        <v>341.25</v>
      </c>
      <c r="F122" s="26">
        <v>183.75</v>
      </c>
      <c r="G122" s="19">
        <v>525</v>
      </c>
      <c r="H122" s="20" t="s">
        <v>288</v>
      </c>
      <c r="I122" s="2"/>
      <c r="J122" s="21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1"/>
    </row>
    <row r="123" spans="1:27" s="3" customFormat="1" ht="18" customHeight="1" x14ac:dyDescent="0.35">
      <c r="A123" s="17" t="s">
        <v>116</v>
      </c>
      <c r="B123" s="1" t="s">
        <v>297</v>
      </c>
      <c r="C123" s="23">
        <v>137.1</v>
      </c>
      <c r="D123" s="1" t="s">
        <v>20</v>
      </c>
      <c r="E123" s="26">
        <v>89.12</v>
      </c>
      <c r="F123" s="26">
        <v>47.99</v>
      </c>
      <c r="G123" s="19">
        <v>137.11000000000001</v>
      </c>
      <c r="H123" s="20" t="s">
        <v>308</v>
      </c>
      <c r="I123" s="2"/>
      <c r="J123" s="21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1"/>
    </row>
    <row r="124" spans="1:27" s="3" customFormat="1" ht="18" customHeight="1" x14ac:dyDescent="0.35">
      <c r="A124" s="17" t="s">
        <v>224</v>
      </c>
      <c r="B124" s="1" t="s">
        <v>309</v>
      </c>
      <c r="C124" s="23">
        <v>1000</v>
      </c>
      <c r="D124" s="1" t="s">
        <v>29</v>
      </c>
      <c r="E124" s="26">
        <v>180</v>
      </c>
      <c r="F124" s="26">
        <v>270</v>
      </c>
      <c r="G124" s="19">
        <v>450</v>
      </c>
      <c r="H124" s="20" t="s">
        <v>308</v>
      </c>
      <c r="I124" s="2"/>
      <c r="J124" s="21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1"/>
    </row>
    <row r="125" spans="1:27" s="3" customFormat="1" ht="18" customHeight="1" x14ac:dyDescent="0.35">
      <c r="A125" s="17" t="s">
        <v>106</v>
      </c>
      <c r="B125" s="1" t="s">
        <v>88</v>
      </c>
      <c r="C125" s="23" t="s">
        <v>310</v>
      </c>
      <c r="D125" s="1" t="s">
        <v>29</v>
      </c>
      <c r="E125" s="26">
        <v>202.37</v>
      </c>
      <c r="F125" s="26">
        <v>303.55</v>
      </c>
      <c r="G125" s="19">
        <v>505.92</v>
      </c>
      <c r="H125" s="20" t="s">
        <v>308</v>
      </c>
      <c r="I125" s="2"/>
      <c r="J125" s="21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1"/>
    </row>
    <row r="126" spans="1:27" s="3" customFormat="1" ht="18" customHeight="1" x14ac:dyDescent="0.35">
      <c r="A126" s="1" t="s">
        <v>267</v>
      </c>
      <c r="B126" s="1" t="s">
        <v>92</v>
      </c>
      <c r="C126" s="23">
        <v>2500</v>
      </c>
      <c r="D126" s="1" t="s">
        <v>20</v>
      </c>
      <c r="E126" s="26">
        <v>1625</v>
      </c>
      <c r="F126" s="26">
        <v>875</v>
      </c>
      <c r="G126" s="19">
        <v>2500</v>
      </c>
      <c r="H126" s="20" t="s">
        <v>308</v>
      </c>
      <c r="I126" s="2"/>
      <c r="J126" s="21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1"/>
    </row>
    <row r="127" spans="1:27" s="3" customFormat="1" ht="18" customHeight="1" x14ac:dyDescent="0.35">
      <c r="A127" s="1"/>
      <c r="B127" s="1"/>
      <c r="C127" s="23"/>
      <c r="D127" s="1"/>
      <c r="E127" s="26"/>
      <c r="F127" s="26"/>
      <c r="G127" s="19"/>
      <c r="H127" s="20"/>
      <c r="I127" s="2"/>
      <c r="J127" s="21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1"/>
    </row>
    <row r="128" spans="1:27" s="3" customFormat="1" ht="18" customHeight="1" x14ac:dyDescent="0.35">
      <c r="A128" s="1"/>
      <c r="B128" s="1"/>
      <c r="C128" s="23"/>
      <c r="D128" s="1"/>
      <c r="E128" s="26"/>
      <c r="F128" s="26"/>
      <c r="G128" s="19"/>
      <c r="H128" s="20"/>
      <c r="I128" s="2"/>
      <c r="J128" s="21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1"/>
    </row>
    <row r="129" spans="1:27" s="3" customFormat="1" ht="18" customHeight="1" x14ac:dyDescent="0.35">
      <c r="G129" s="19"/>
      <c r="I129" s="2"/>
      <c r="J129" s="21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1"/>
    </row>
    <row r="130" spans="1:27" s="3" customFormat="1" ht="18" customHeight="1" x14ac:dyDescent="0.35">
      <c r="A130" s="17"/>
      <c r="B130" s="1"/>
      <c r="C130" s="22"/>
      <c r="D130" s="1"/>
      <c r="E130" s="26"/>
      <c r="F130" s="26"/>
      <c r="G130" s="19"/>
      <c r="H130" s="20"/>
      <c r="I130" s="2"/>
      <c r="J130" s="21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1"/>
    </row>
    <row r="131" spans="1:27" s="3" customFormat="1" ht="18" customHeight="1" x14ac:dyDescent="0.35">
      <c r="A131" s="17"/>
      <c r="B131" s="1"/>
      <c r="C131" s="22"/>
      <c r="D131" s="1"/>
      <c r="E131" s="19"/>
      <c r="F131" s="19"/>
      <c r="G131" s="19"/>
      <c r="H131" s="20"/>
      <c r="I131" s="2"/>
      <c r="J131" s="21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1"/>
    </row>
    <row r="132" spans="1:27" s="3" customFormat="1" ht="18" customHeight="1" thickBot="1" x14ac:dyDescent="0.4">
      <c r="A132" s="29" t="s">
        <v>311</v>
      </c>
      <c r="B132" s="30"/>
      <c r="C132" s="31"/>
      <c r="D132" s="30"/>
      <c r="E132" s="32">
        <f>SUM(E8:E131)</f>
        <v>141560.05800000005</v>
      </c>
      <c r="F132" s="32">
        <f>SUM(F8:F131)</f>
        <v>100441.58199999999</v>
      </c>
      <c r="G132" s="19">
        <f>SUM(E132:F132)</f>
        <v>242001.64000000004</v>
      </c>
      <c r="H132" s="33"/>
      <c r="I132" s="34"/>
      <c r="J132" s="35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1"/>
    </row>
    <row r="133" spans="1:27" s="3" customFormat="1" ht="18" customHeight="1" x14ac:dyDescent="0.35">
      <c r="A133" s="1"/>
      <c r="B133" s="1"/>
      <c r="C133" s="1"/>
      <c r="D133" s="1"/>
      <c r="E133" s="1"/>
      <c r="F133" s="1"/>
      <c r="G133" s="1"/>
      <c r="H133" s="20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1"/>
    </row>
    <row r="134" spans="1:27" s="3" customFormat="1" ht="18" customHeight="1" thickBot="1" x14ac:dyDescent="0.4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1"/>
    </row>
    <row r="135" spans="1:27" s="3" customFormat="1" ht="18" customHeight="1" thickBot="1" x14ac:dyDescent="0.4">
      <c r="A135" s="36" t="s">
        <v>312</v>
      </c>
      <c r="B135" s="1"/>
      <c r="C135" s="1"/>
      <c r="D135" s="1"/>
      <c r="E135" s="1"/>
      <c r="F135" s="1"/>
      <c r="G135" s="1"/>
      <c r="H135" s="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1"/>
    </row>
    <row r="136" spans="1:27" s="3" customFormat="1" ht="18" customHeight="1" thickBot="1" x14ac:dyDescent="0.4">
      <c r="A136" s="6" t="s">
        <v>10</v>
      </c>
      <c r="B136" s="14" t="s">
        <v>11</v>
      </c>
      <c r="C136" s="14" t="s">
        <v>12</v>
      </c>
      <c r="D136" s="14" t="s">
        <v>13</v>
      </c>
      <c r="E136" s="14" t="s">
        <v>14</v>
      </c>
      <c r="F136" s="14" t="s">
        <v>15</v>
      </c>
      <c r="G136" s="14"/>
      <c r="H136" s="14" t="s">
        <v>16</v>
      </c>
      <c r="I136" s="16" t="s">
        <v>17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1"/>
    </row>
    <row r="137" spans="1:27" s="3" customFormat="1" ht="18" customHeight="1" x14ac:dyDescent="0.35">
      <c r="A137" s="17" t="s">
        <v>313</v>
      </c>
      <c r="B137" s="1" t="s">
        <v>314</v>
      </c>
      <c r="C137" s="37">
        <v>700</v>
      </c>
      <c r="D137" s="1" t="s">
        <v>315</v>
      </c>
      <c r="E137" s="18">
        <v>227.5</v>
      </c>
      <c r="F137" s="18">
        <v>122.5</v>
      </c>
      <c r="G137" s="18">
        <v>350</v>
      </c>
      <c r="H137" s="20" t="s">
        <v>42</v>
      </c>
      <c r="I137" s="21" t="s">
        <v>316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1"/>
    </row>
    <row r="138" spans="1:27" s="3" customFormat="1" ht="18" customHeight="1" x14ac:dyDescent="0.35">
      <c r="A138" s="17" t="s">
        <v>317</v>
      </c>
      <c r="B138" s="1" t="s">
        <v>318</v>
      </c>
      <c r="C138" s="37">
        <v>1500</v>
      </c>
      <c r="D138" s="1" t="s">
        <v>319</v>
      </c>
      <c r="E138" s="19">
        <v>600</v>
      </c>
      <c r="F138" s="19">
        <v>900</v>
      </c>
      <c r="G138" s="18">
        <v>1500</v>
      </c>
      <c r="H138" s="20" t="s">
        <v>320</v>
      </c>
      <c r="I138" s="2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1"/>
    </row>
    <row r="139" spans="1:27" s="3" customFormat="1" ht="18" customHeight="1" x14ac:dyDescent="0.35">
      <c r="A139" s="17" t="s">
        <v>321</v>
      </c>
      <c r="B139" s="1" t="s">
        <v>322</v>
      </c>
      <c r="C139" s="24">
        <v>400</v>
      </c>
      <c r="D139" s="1" t="s">
        <v>319</v>
      </c>
      <c r="E139" s="18">
        <v>160</v>
      </c>
      <c r="F139" s="18">
        <v>240</v>
      </c>
      <c r="G139" s="18">
        <v>400</v>
      </c>
      <c r="H139" s="20" t="s">
        <v>42</v>
      </c>
      <c r="I139" s="2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1"/>
    </row>
    <row r="140" spans="1:27" s="3" customFormat="1" ht="18" customHeight="1" x14ac:dyDescent="0.35">
      <c r="A140" s="17" t="s">
        <v>323</v>
      </c>
      <c r="B140" s="1" t="s">
        <v>324</v>
      </c>
      <c r="C140" s="24">
        <v>175</v>
      </c>
      <c r="D140" s="1" t="s">
        <v>319</v>
      </c>
      <c r="E140" s="18">
        <v>70</v>
      </c>
      <c r="F140" s="18">
        <v>105</v>
      </c>
      <c r="G140" s="18">
        <v>175</v>
      </c>
      <c r="H140" s="1" t="s">
        <v>84</v>
      </c>
      <c r="I140" s="2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1"/>
    </row>
    <row r="141" spans="1:27" s="3" customFormat="1" ht="18" customHeight="1" x14ac:dyDescent="0.35">
      <c r="A141" s="17" t="s">
        <v>325</v>
      </c>
      <c r="B141" s="1" t="s">
        <v>326</v>
      </c>
      <c r="C141" s="23">
        <v>1500</v>
      </c>
      <c r="D141" s="1" t="s">
        <v>20</v>
      </c>
      <c r="E141" s="18">
        <v>975</v>
      </c>
      <c r="F141" s="18">
        <v>525</v>
      </c>
      <c r="G141" s="18">
        <v>1500</v>
      </c>
      <c r="H141" s="1" t="s">
        <v>108</v>
      </c>
      <c r="I141" s="2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1"/>
    </row>
    <row r="142" spans="1:27" s="3" customFormat="1" ht="18" customHeight="1" x14ac:dyDescent="0.35">
      <c r="A142" s="17" t="s">
        <v>327</v>
      </c>
      <c r="B142" s="1" t="s">
        <v>328</v>
      </c>
      <c r="C142" s="24">
        <v>1000</v>
      </c>
      <c r="D142" s="1" t="s">
        <v>319</v>
      </c>
      <c r="E142" s="18">
        <v>400</v>
      </c>
      <c r="F142" s="18">
        <v>600</v>
      </c>
      <c r="G142" s="18">
        <v>1000</v>
      </c>
      <c r="H142" s="1" t="s">
        <v>329</v>
      </c>
      <c r="I142" s="2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1"/>
    </row>
    <row r="143" spans="1:27" s="3" customFormat="1" ht="18" customHeight="1" x14ac:dyDescent="0.35">
      <c r="A143" s="17" t="s">
        <v>330</v>
      </c>
      <c r="B143" s="1" t="s">
        <v>331</v>
      </c>
      <c r="C143" s="24">
        <v>1500</v>
      </c>
      <c r="D143" s="1" t="s">
        <v>20</v>
      </c>
      <c r="E143" s="18">
        <v>487.5</v>
      </c>
      <c r="F143" s="18">
        <v>262.5</v>
      </c>
      <c r="G143" s="18">
        <v>750</v>
      </c>
      <c r="H143" s="1" t="s">
        <v>108</v>
      </c>
      <c r="I143" s="21" t="s">
        <v>332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1"/>
    </row>
    <row r="144" spans="1:27" s="3" customFormat="1" ht="18" customHeight="1" x14ac:dyDescent="0.35">
      <c r="A144" s="38" t="s">
        <v>333</v>
      </c>
      <c r="B144" s="1" t="s">
        <v>334</v>
      </c>
      <c r="C144" s="19">
        <v>500</v>
      </c>
      <c r="D144" s="1" t="s">
        <v>319</v>
      </c>
      <c r="E144" s="18">
        <v>200</v>
      </c>
      <c r="F144" s="18">
        <v>300</v>
      </c>
      <c r="G144" s="18">
        <v>500</v>
      </c>
      <c r="H144" s="1" t="s">
        <v>108</v>
      </c>
      <c r="I144" s="2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1"/>
    </row>
    <row r="145" spans="1:27" s="3" customFormat="1" ht="18" customHeight="1" x14ac:dyDescent="0.35">
      <c r="A145" s="17" t="s">
        <v>321</v>
      </c>
      <c r="B145" s="1" t="s">
        <v>335</v>
      </c>
      <c r="C145" s="24">
        <v>544</v>
      </c>
      <c r="D145" s="1" t="s">
        <v>20</v>
      </c>
      <c r="E145" s="18">
        <v>344</v>
      </c>
      <c r="F145" s="18">
        <v>200</v>
      </c>
      <c r="G145" s="18">
        <v>544</v>
      </c>
      <c r="H145" s="1" t="s">
        <v>108</v>
      </c>
      <c r="I145" s="2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1"/>
    </row>
    <row r="146" spans="1:27" s="3" customFormat="1" ht="18" customHeight="1" x14ac:dyDescent="0.35">
      <c r="A146" s="17" t="s">
        <v>336</v>
      </c>
      <c r="B146" s="1" t="s">
        <v>337</v>
      </c>
      <c r="C146" s="24">
        <v>1500</v>
      </c>
      <c r="D146" s="1" t="s">
        <v>319</v>
      </c>
      <c r="E146" s="18">
        <v>300</v>
      </c>
      <c r="F146" s="18">
        <v>450</v>
      </c>
      <c r="G146" s="18">
        <v>750</v>
      </c>
      <c r="H146" s="1" t="s">
        <v>108</v>
      </c>
      <c r="I146" s="21" t="s">
        <v>332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1"/>
    </row>
    <row r="147" spans="1:27" s="3" customFormat="1" ht="18" customHeight="1" x14ac:dyDescent="0.35">
      <c r="A147" s="17" t="s">
        <v>338</v>
      </c>
      <c r="B147" s="1" t="s">
        <v>339</v>
      </c>
      <c r="C147" s="24" t="s">
        <v>340</v>
      </c>
      <c r="D147" s="1" t="s">
        <v>319</v>
      </c>
      <c r="E147" s="18">
        <v>74.400000000000006</v>
      </c>
      <c r="F147" s="18">
        <v>111.6</v>
      </c>
      <c r="G147" s="18">
        <v>186</v>
      </c>
      <c r="H147" s="1" t="s">
        <v>108</v>
      </c>
      <c r="I147" s="2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1"/>
    </row>
    <row r="148" spans="1:27" s="3" customFormat="1" ht="18" customHeight="1" x14ac:dyDescent="0.35">
      <c r="A148" s="17" t="s">
        <v>341</v>
      </c>
      <c r="B148" s="1" t="s">
        <v>342</v>
      </c>
      <c r="C148" s="24">
        <v>1000</v>
      </c>
      <c r="D148" s="1" t="s">
        <v>343</v>
      </c>
      <c r="E148" s="18">
        <v>500</v>
      </c>
      <c r="F148" s="18">
        <v>500</v>
      </c>
      <c r="G148" s="18">
        <v>1000</v>
      </c>
      <c r="H148" s="1" t="s">
        <v>146</v>
      </c>
      <c r="I148" s="2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1"/>
    </row>
    <row r="149" spans="1:27" s="3" customFormat="1" ht="18" customHeight="1" x14ac:dyDescent="0.35">
      <c r="A149" s="17" t="s">
        <v>253</v>
      </c>
      <c r="B149" s="1" t="s">
        <v>344</v>
      </c>
      <c r="C149" s="24">
        <v>1000</v>
      </c>
      <c r="D149" s="1" t="s">
        <v>20</v>
      </c>
      <c r="E149" s="18">
        <v>0</v>
      </c>
      <c r="F149" s="18">
        <v>350</v>
      </c>
      <c r="G149" s="18">
        <v>350</v>
      </c>
      <c r="H149" s="1" t="s">
        <v>123</v>
      </c>
      <c r="I149" s="2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1"/>
    </row>
    <row r="150" spans="1:27" s="3" customFormat="1" ht="18" customHeight="1" x14ac:dyDescent="0.35">
      <c r="A150" s="17" t="s">
        <v>345</v>
      </c>
      <c r="B150" s="1" t="s">
        <v>346</v>
      </c>
      <c r="C150" s="24">
        <v>700</v>
      </c>
      <c r="D150" s="1" t="s">
        <v>319</v>
      </c>
      <c r="E150" s="18">
        <v>280</v>
      </c>
      <c r="F150" s="18">
        <v>420</v>
      </c>
      <c r="G150" s="18">
        <v>700</v>
      </c>
      <c r="H150" s="1" t="s">
        <v>123</v>
      </c>
      <c r="I150" s="2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1"/>
    </row>
    <row r="151" spans="1:27" s="3" customFormat="1" ht="18" customHeight="1" x14ac:dyDescent="0.35">
      <c r="A151" s="17" t="s">
        <v>341</v>
      </c>
      <c r="B151" s="1" t="s">
        <v>342</v>
      </c>
      <c r="C151" s="24">
        <v>1000</v>
      </c>
      <c r="D151" s="1" t="s">
        <v>343</v>
      </c>
      <c r="E151" s="18">
        <v>500</v>
      </c>
      <c r="F151" s="18">
        <v>500</v>
      </c>
      <c r="G151" s="18">
        <v>1000</v>
      </c>
      <c r="H151" s="1" t="s">
        <v>146</v>
      </c>
      <c r="I151" s="2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1"/>
    </row>
    <row r="152" spans="1:27" s="3" customFormat="1" ht="18" customHeight="1" x14ac:dyDescent="0.35">
      <c r="A152" s="1" t="s">
        <v>347</v>
      </c>
      <c r="B152" s="1" t="s">
        <v>348</v>
      </c>
      <c r="C152" s="24">
        <v>1000</v>
      </c>
      <c r="D152" s="1" t="s">
        <v>319</v>
      </c>
      <c r="E152" s="18">
        <v>400</v>
      </c>
      <c r="F152" s="18">
        <v>600</v>
      </c>
      <c r="G152" s="18">
        <v>1000</v>
      </c>
      <c r="H152" s="1" t="s">
        <v>349</v>
      </c>
      <c r="I152" s="2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1"/>
    </row>
    <row r="153" spans="1:27" s="3" customFormat="1" ht="18" customHeight="1" x14ac:dyDescent="0.35">
      <c r="A153" s="1" t="s">
        <v>67</v>
      </c>
      <c r="B153" s="1" t="s">
        <v>339</v>
      </c>
      <c r="C153" s="24" t="s">
        <v>350</v>
      </c>
      <c r="D153" s="1" t="s">
        <v>319</v>
      </c>
      <c r="E153" s="18">
        <v>240</v>
      </c>
      <c r="F153" s="18">
        <v>360</v>
      </c>
      <c r="G153" s="18">
        <v>600</v>
      </c>
      <c r="H153" s="1" t="s">
        <v>351</v>
      </c>
      <c r="I153" s="2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1"/>
    </row>
    <row r="154" spans="1:27" s="3" customFormat="1" ht="18" customHeight="1" x14ac:dyDescent="0.35">
      <c r="A154" s="1" t="s">
        <v>352</v>
      </c>
      <c r="B154" s="1" t="s">
        <v>346</v>
      </c>
      <c r="C154" s="24">
        <v>800</v>
      </c>
      <c r="D154" s="1" t="s">
        <v>343</v>
      </c>
      <c r="E154" s="18">
        <v>400</v>
      </c>
      <c r="F154" s="18">
        <v>400</v>
      </c>
      <c r="G154" s="18">
        <v>800</v>
      </c>
      <c r="H154" s="1" t="s">
        <v>351</v>
      </c>
      <c r="I154" s="2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1"/>
    </row>
    <row r="155" spans="1:27" s="3" customFormat="1" ht="18" customHeight="1" x14ac:dyDescent="0.35">
      <c r="A155" s="1" t="s">
        <v>353</v>
      </c>
      <c r="B155" s="1" t="s">
        <v>354</v>
      </c>
      <c r="C155" s="24">
        <v>500</v>
      </c>
      <c r="D155" s="1" t="s">
        <v>319</v>
      </c>
      <c r="E155" s="18">
        <v>200</v>
      </c>
      <c r="F155" s="18">
        <v>300</v>
      </c>
      <c r="G155" s="18">
        <v>500</v>
      </c>
      <c r="H155" s="1" t="s">
        <v>155</v>
      </c>
      <c r="I155" s="2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1"/>
    </row>
    <row r="156" spans="1:27" s="3" customFormat="1" ht="18" customHeight="1" x14ac:dyDescent="0.35">
      <c r="A156" s="1" t="s">
        <v>253</v>
      </c>
      <c r="B156" s="1" t="s">
        <v>355</v>
      </c>
      <c r="C156" s="24">
        <v>1000</v>
      </c>
      <c r="D156" s="1" t="s">
        <v>20</v>
      </c>
      <c r="E156" s="18">
        <v>0</v>
      </c>
      <c r="F156" s="18">
        <v>350</v>
      </c>
      <c r="G156" s="18">
        <v>350</v>
      </c>
      <c r="H156" s="1" t="s">
        <v>356</v>
      </c>
      <c r="I156" s="2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1"/>
    </row>
    <row r="157" spans="1:27" s="3" customFormat="1" ht="18" customHeight="1" x14ac:dyDescent="0.35">
      <c r="A157" s="1" t="s">
        <v>253</v>
      </c>
      <c r="B157" s="1" t="s">
        <v>357</v>
      </c>
      <c r="C157" s="24">
        <v>1000</v>
      </c>
      <c r="D157" s="1" t="s">
        <v>20</v>
      </c>
      <c r="E157" s="18">
        <v>0</v>
      </c>
      <c r="F157" s="18">
        <v>350</v>
      </c>
      <c r="G157" s="18">
        <v>350</v>
      </c>
      <c r="H157" s="1" t="s">
        <v>356</v>
      </c>
      <c r="I157" s="2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1"/>
    </row>
    <row r="158" spans="1:27" s="3" customFormat="1" ht="18" customHeight="1" x14ac:dyDescent="0.35">
      <c r="A158" s="3" t="s">
        <v>358</v>
      </c>
      <c r="B158" s="3" t="s">
        <v>359</v>
      </c>
      <c r="C158" s="39">
        <v>600</v>
      </c>
      <c r="D158" s="1" t="s">
        <v>343</v>
      </c>
      <c r="E158" s="18">
        <v>300</v>
      </c>
      <c r="F158" s="18">
        <v>300</v>
      </c>
      <c r="G158" s="18">
        <v>600</v>
      </c>
      <c r="H158" s="1" t="s">
        <v>176</v>
      </c>
      <c r="I158" s="2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1"/>
    </row>
    <row r="159" spans="1:27" s="3" customFormat="1" ht="18" customHeight="1" x14ac:dyDescent="0.35">
      <c r="A159" s="3" t="s">
        <v>360</v>
      </c>
      <c r="B159" s="3" t="s">
        <v>361</v>
      </c>
      <c r="C159" s="39">
        <v>300</v>
      </c>
      <c r="D159" s="1" t="s">
        <v>20</v>
      </c>
      <c r="E159" s="18">
        <v>195</v>
      </c>
      <c r="F159" s="18">
        <v>105</v>
      </c>
      <c r="G159" s="18">
        <v>300</v>
      </c>
      <c r="H159" s="1" t="s">
        <v>220</v>
      </c>
      <c r="I159" s="2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1"/>
    </row>
    <row r="160" spans="1:27" s="3" customFormat="1" ht="18" customHeight="1" x14ac:dyDescent="0.35">
      <c r="A160" s="17" t="s">
        <v>341</v>
      </c>
      <c r="B160" s="1" t="s">
        <v>342</v>
      </c>
      <c r="C160" s="24">
        <v>3000</v>
      </c>
      <c r="D160" s="1" t="s">
        <v>343</v>
      </c>
      <c r="E160" s="18">
        <v>1500</v>
      </c>
      <c r="F160" s="18">
        <v>1500</v>
      </c>
      <c r="G160" s="18">
        <v>3000</v>
      </c>
      <c r="H160" s="1" t="s">
        <v>237</v>
      </c>
      <c r="I160" s="2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1"/>
    </row>
    <row r="161" spans="1:27" s="3" customFormat="1" ht="18" customHeight="1" x14ac:dyDescent="0.35">
      <c r="A161" s="17" t="s">
        <v>341</v>
      </c>
      <c r="B161" s="1" t="s">
        <v>342</v>
      </c>
      <c r="C161" s="24">
        <v>1000</v>
      </c>
      <c r="D161" s="1" t="s">
        <v>343</v>
      </c>
      <c r="E161" s="18">
        <v>500</v>
      </c>
      <c r="F161" s="18">
        <v>500</v>
      </c>
      <c r="G161" s="18">
        <v>1000</v>
      </c>
      <c r="H161" s="1" t="s">
        <v>237</v>
      </c>
      <c r="I161" s="2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1"/>
    </row>
    <row r="162" spans="1:27" s="3" customFormat="1" ht="18" customHeight="1" x14ac:dyDescent="0.35">
      <c r="A162" s="3" t="s">
        <v>362</v>
      </c>
      <c r="B162" s="3" t="s">
        <v>363</v>
      </c>
      <c r="C162" s="39">
        <v>1050</v>
      </c>
      <c r="D162" s="1" t="s">
        <v>364</v>
      </c>
      <c r="E162" s="18">
        <v>0</v>
      </c>
      <c r="F162" s="18">
        <v>1050</v>
      </c>
      <c r="G162" s="18">
        <v>1050</v>
      </c>
      <c r="H162" s="1" t="s">
        <v>237</v>
      </c>
      <c r="I162" s="2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1"/>
    </row>
    <row r="163" spans="1:27" s="3" customFormat="1" ht="18" customHeight="1" x14ac:dyDescent="0.35">
      <c r="A163" s="3" t="s">
        <v>365</v>
      </c>
      <c r="B163" s="1" t="s">
        <v>342</v>
      </c>
      <c r="C163" s="39">
        <v>2000</v>
      </c>
      <c r="D163" s="1" t="s">
        <v>343</v>
      </c>
      <c r="E163" s="18">
        <v>1000</v>
      </c>
      <c r="F163" s="18">
        <v>1000</v>
      </c>
      <c r="G163" s="18">
        <v>2000</v>
      </c>
      <c r="H163" s="1" t="s">
        <v>233</v>
      </c>
      <c r="I163" s="2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1"/>
    </row>
    <row r="164" spans="1:27" s="3" customFormat="1" ht="18" customHeight="1" x14ac:dyDescent="0.35">
      <c r="A164" s="3" t="s">
        <v>366</v>
      </c>
      <c r="B164" s="3" t="s">
        <v>342</v>
      </c>
      <c r="C164" s="39">
        <v>1000</v>
      </c>
      <c r="D164" s="1" t="s">
        <v>343</v>
      </c>
      <c r="E164" s="18">
        <v>500</v>
      </c>
      <c r="F164" s="18">
        <v>500</v>
      </c>
      <c r="G164" s="18">
        <v>1000</v>
      </c>
      <c r="H164" s="1" t="s">
        <v>237</v>
      </c>
      <c r="I164" s="2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1"/>
    </row>
    <row r="165" spans="1:27" s="3" customFormat="1" ht="18" customHeight="1" x14ac:dyDescent="0.35">
      <c r="A165" s="3" t="s">
        <v>366</v>
      </c>
      <c r="B165" s="3" t="s">
        <v>342</v>
      </c>
      <c r="C165" s="39">
        <v>1000</v>
      </c>
      <c r="D165" s="1" t="s">
        <v>343</v>
      </c>
      <c r="E165" s="18">
        <v>500</v>
      </c>
      <c r="F165" s="18">
        <v>500</v>
      </c>
      <c r="G165" s="18">
        <v>1000</v>
      </c>
      <c r="H165" s="1" t="s">
        <v>237</v>
      </c>
      <c r="I165" s="2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1"/>
    </row>
    <row r="166" spans="1:27" s="3" customFormat="1" ht="18" customHeight="1" x14ac:dyDescent="0.35">
      <c r="A166" s="3" t="s">
        <v>321</v>
      </c>
      <c r="B166" s="3" t="s">
        <v>367</v>
      </c>
      <c r="C166" s="39">
        <v>330</v>
      </c>
      <c r="D166" s="1" t="s">
        <v>319</v>
      </c>
      <c r="E166" s="18">
        <v>132</v>
      </c>
      <c r="F166" s="18">
        <v>198</v>
      </c>
      <c r="G166" s="18">
        <v>330</v>
      </c>
      <c r="H166" s="1" t="s">
        <v>368</v>
      </c>
      <c r="I166" s="2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1"/>
    </row>
    <row r="167" spans="1:27" s="3" customFormat="1" ht="18" customHeight="1" x14ac:dyDescent="0.35">
      <c r="A167" s="17" t="s">
        <v>369</v>
      </c>
      <c r="B167" s="1" t="s">
        <v>370</v>
      </c>
      <c r="C167" s="22">
        <v>350</v>
      </c>
      <c r="D167" s="1" t="s">
        <v>20</v>
      </c>
      <c r="E167" s="26">
        <v>227.5</v>
      </c>
      <c r="F167" s="26">
        <v>122.49999999999999</v>
      </c>
      <c r="G167" s="18">
        <v>350</v>
      </c>
      <c r="H167" s="20" t="s">
        <v>288</v>
      </c>
      <c r="I167" s="2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1"/>
    </row>
    <row r="168" spans="1:27" s="3" customFormat="1" ht="18" customHeight="1" x14ac:dyDescent="0.35">
      <c r="A168" s="1" t="s">
        <v>113</v>
      </c>
      <c r="B168" s="1" t="s">
        <v>354</v>
      </c>
      <c r="C168" s="22">
        <v>600</v>
      </c>
      <c r="D168" s="1" t="s">
        <v>319</v>
      </c>
      <c r="E168" s="26">
        <v>240</v>
      </c>
      <c r="F168" s="26">
        <v>360</v>
      </c>
      <c r="G168" s="18">
        <v>600</v>
      </c>
      <c r="H168" s="20" t="s">
        <v>308</v>
      </c>
      <c r="I168" s="2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1"/>
    </row>
    <row r="169" spans="1:27" s="3" customFormat="1" ht="18" customHeight="1" x14ac:dyDescent="0.35">
      <c r="A169" s="1"/>
      <c r="B169" s="1"/>
      <c r="C169" s="22"/>
      <c r="D169" s="1"/>
      <c r="E169" s="26"/>
      <c r="F169" s="26"/>
      <c r="G169" s="18"/>
      <c r="H169" s="20"/>
      <c r="I169" s="2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1"/>
    </row>
    <row r="170" spans="1:27" s="3" customFormat="1" ht="18" customHeight="1" x14ac:dyDescent="0.35">
      <c r="C170" s="39"/>
      <c r="D170" s="1"/>
      <c r="E170" s="18"/>
      <c r="F170" s="18"/>
      <c r="G170" s="18"/>
      <c r="H170" s="1"/>
      <c r="I170" s="2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1"/>
    </row>
    <row r="171" spans="1:27" s="3" customFormat="1" ht="18" customHeight="1" x14ac:dyDescent="0.35">
      <c r="A171" s="17"/>
      <c r="B171" s="1"/>
      <c r="C171" s="24"/>
      <c r="D171" s="1"/>
      <c r="E171" s="18"/>
      <c r="F171" s="18"/>
      <c r="G171" s="18"/>
      <c r="H171" s="20"/>
      <c r="I171" s="2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1"/>
    </row>
    <row r="172" spans="1:27" s="3" customFormat="1" ht="18" customHeight="1" thickBot="1" x14ac:dyDescent="0.4">
      <c r="A172" s="29" t="s">
        <v>311</v>
      </c>
      <c r="B172" s="30"/>
      <c r="C172" s="30"/>
      <c r="D172" s="30"/>
      <c r="E172" s="40">
        <f>SUM(E137:E171)</f>
        <v>11452.9</v>
      </c>
      <c r="F172" s="40">
        <f>SUM(F137:F171)</f>
        <v>14082.1</v>
      </c>
      <c r="G172" s="18">
        <f t="shared" ref="G172" si="0">SUM(E172:F172)</f>
        <v>25535</v>
      </c>
      <c r="H172" s="33"/>
      <c r="I172" s="35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1"/>
    </row>
    <row r="173" spans="1:27" s="3" customFormat="1" ht="18" customHeight="1" x14ac:dyDescent="0.35">
      <c r="A173" s="1"/>
      <c r="B173" s="1"/>
      <c r="C173" s="1"/>
      <c r="D173" s="1"/>
      <c r="E173" s="1"/>
      <c r="F173" s="1"/>
      <c r="G173" s="1"/>
      <c r="H173" s="20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1"/>
    </row>
    <row r="174" spans="1:27" s="3" customFormat="1" ht="18" customHeight="1" x14ac:dyDescent="0.35">
      <c r="A174" s="1"/>
      <c r="B174" s="1"/>
      <c r="C174" s="1"/>
      <c r="D174" s="1"/>
      <c r="E174" s="1"/>
      <c r="F174" s="1"/>
      <c r="G174" s="1"/>
      <c r="H174" s="20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1"/>
    </row>
    <row r="175" spans="1:27" s="3" customFormat="1" ht="18" customHeight="1" thickBot="1" x14ac:dyDescent="0.4">
      <c r="A175" s="1"/>
      <c r="B175" s="1"/>
      <c r="C175" s="1"/>
      <c r="D175" s="1"/>
      <c r="E175" s="1"/>
      <c r="F175" s="1"/>
      <c r="G175" s="1"/>
      <c r="I175" s="20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1"/>
    </row>
    <row r="176" spans="1:27" s="3" customFormat="1" ht="18" customHeight="1" thickBot="1" x14ac:dyDescent="0.4">
      <c r="A176" s="36" t="s">
        <v>371</v>
      </c>
      <c r="B176" s="1"/>
      <c r="C176" s="41"/>
      <c r="D176" s="41"/>
      <c r="E176" s="41"/>
      <c r="F176" s="41"/>
      <c r="G176" s="4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1"/>
    </row>
    <row r="177" spans="1:27" s="3" customFormat="1" ht="18" customHeight="1" thickBot="1" x14ac:dyDescent="0.4">
      <c r="A177" s="42" t="s">
        <v>10</v>
      </c>
      <c r="B177" s="43" t="s">
        <v>11</v>
      </c>
      <c r="C177" s="44" t="s">
        <v>12</v>
      </c>
      <c r="D177" s="44" t="s">
        <v>13</v>
      </c>
      <c r="E177" s="44" t="s">
        <v>14</v>
      </c>
      <c r="F177" s="44" t="s">
        <v>15</v>
      </c>
      <c r="G177" s="44" t="s">
        <v>372</v>
      </c>
      <c r="I177" s="45" t="s">
        <v>16</v>
      </c>
      <c r="J177" s="46" t="s">
        <v>17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1"/>
    </row>
    <row r="178" spans="1:27" s="3" customFormat="1" ht="18" customHeight="1" x14ac:dyDescent="0.35">
      <c r="A178" s="38" t="s">
        <v>373</v>
      </c>
      <c r="B178" s="1" t="s">
        <v>167</v>
      </c>
      <c r="C178" s="1" t="s">
        <v>374</v>
      </c>
      <c r="D178" s="22" t="s">
        <v>375</v>
      </c>
      <c r="E178" s="22">
        <v>468</v>
      </c>
      <c r="F178" s="22">
        <v>252</v>
      </c>
      <c r="G178" s="22">
        <v>80</v>
      </c>
      <c r="H178" s="47">
        <v>800</v>
      </c>
      <c r="I178" s="48" t="s">
        <v>42</v>
      </c>
      <c r="J178" s="49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1"/>
    </row>
    <row r="179" spans="1:27" s="3" customFormat="1" ht="18" customHeight="1" x14ac:dyDescent="0.35">
      <c r="A179" s="50" t="s">
        <v>376</v>
      </c>
      <c r="B179" s="3" t="s">
        <v>377</v>
      </c>
      <c r="C179" s="51">
        <v>1000</v>
      </c>
      <c r="D179" s="22" t="s">
        <v>378</v>
      </c>
      <c r="E179" s="26">
        <v>550</v>
      </c>
      <c r="F179" s="26">
        <v>350</v>
      </c>
      <c r="G179" s="26">
        <v>100</v>
      </c>
      <c r="H179" s="47">
        <v>1000</v>
      </c>
      <c r="I179" s="2" t="s">
        <v>108</v>
      </c>
      <c r="J179" s="49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1"/>
    </row>
    <row r="180" spans="1:27" s="3" customFormat="1" ht="18" customHeight="1" x14ac:dyDescent="0.35">
      <c r="A180" s="17" t="s">
        <v>379</v>
      </c>
      <c r="B180" s="1" t="s">
        <v>92</v>
      </c>
      <c r="C180" s="23" t="s">
        <v>380</v>
      </c>
      <c r="D180" s="22" t="s">
        <v>378</v>
      </c>
      <c r="E180" s="22">
        <v>1982.06</v>
      </c>
      <c r="F180" s="22">
        <v>1248.1300000000001</v>
      </c>
      <c r="G180" s="22">
        <v>335.46</v>
      </c>
      <c r="H180" s="47">
        <v>3565.65</v>
      </c>
      <c r="I180" s="2" t="s">
        <v>349</v>
      </c>
      <c r="J180" s="49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1"/>
    </row>
    <row r="181" spans="1:27" s="3" customFormat="1" ht="18" customHeight="1" x14ac:dyDescent="0.35">
      <c r="A181" s="17" t="s">
        <v>381</v>
      </c>
      <c r="B181" s="1" t="s">
        <v>382</v>
      </c>
      <c r="C181" s="23" t="s">
        <v>383</v>
      </c>
      <c r="D181" s="22" t="s">
        <v>378</v>
      </c>
      <c r="E181" s="22">
        <v>324.5</v>
      </c>
      <c r="F181" s="22">
        <v>206.5</v>
      </c>
      <c r="G181" s="22">
        <v>59</v>
      </c>
      <c r="H181" s="47">
        <v>590</v>
      </c>
      <c r="I181" s="2" t="s">
        <v>189</v>
      </c>
      <c r="J181" s="49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1"/>
    </row>
    <row r="182" spans="1:27" s="3" customFormat="1" ht="18" customHeight="1" x14ac:dyDescent="0.35">
      <c r="A182" s="3" t="s">
        <v>384</v>
      </c>
      <c r="B182" s="3" t="s">
        <v>385</v>
      </c>
      <c r="C182" s="23">
        <v>2000</v>
      </c>
      <c r="D182" s="22" t="s">
        <v>378</v>
      </c>
      <c r="E182" s="22">
        <v>1100</v>
      </c>
      <c r="F182" s="22">
        <v>700</v>
      </c>
      <c r="G182" s="22">
        <v>200</v>
      </c>
      <c r="H182" s="47">
        <v>2000</v>
      </c>
      <c r="I182" s="2" t="s">
        <v>237</v>
      </c>
      <c r="J182" s="49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1"/>
    </row>
    <row r="183" spans="1:27" s="3" customFormat="1" ht="18" customHeight="1" x14ac:dyDescent="0.35">
      <c r="A183" s="1"/>
      <c r="B183" s="1"/>
      <c r="C183" s="23"/>
      <c r="D183" s="22"/>
      <c r="E183" s="22"/>
      <c r="F183" s="22"/>
      <c r="G183" s="22"/>
      <c r="I183" s="2"/>
      <c r="J183" s="49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1"/>
    </row>
    <row r="184" spans="1:27" s="3" customFormat="1" ht="18" customHeight="1" thickBot="1" x14ac:dyDescent="0.4">
      <c r="A184" s="52" t="s">
        <v>311</v>
      </c>
      <c r="B184" s="41"/>
      <c r="C184" s="41"/>
      <c r="D184" s="41"/>
      <c r="E184" s="53">
        <f>SUM(E178:E183)</f>
        <v>4424.5599999999995</v>
      </c>
      <c r="F184" s="53">
        <f>SUM(F178:F183)</f>
        <v>2756.63</v>
      </c>
      <c r="G184" s="53">
        <f>SUM(G178:G183)</f>
        <v>774.46</v>
      </c>
      <c r="H184" s="54">
        <f>SUM(E184:G184)</f>
        <v>7955.65</v>
      </c>
      <c r="I184" s="55"/>
      <c r="J184" s="56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1"/>
    </row>
    <row r="185" spans="1:27" s="3" customFormat="1" ht="18" customHeight="1" x14ac:dyDescent="0.35">
      <c r="A185" s="1"/>
      <c r="B185" s="1"/>
      <c r="C185" s="1"/>
      <c r="D185" s="1"/>
      <c r="E185" s="18"/>
      <c r="F185" s="18"/>
      <c r="G185" s="18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1"/>
    </row>
    <row r="186" spans="1:27" s="3" customFormat="1" ht="18" customHeight="1" x14ac:dyDescent="0.35">
      <c r="A186" s="1"/>
      <c r="B186" s="1"/>
      <c r="C186" s="1"/>
      <c r="D186" s="1"/>
      <c r="E186" s="18"/>
      <c r="F186" s="18"/>
      <c r="G186" s="18"/>
      <c r="H186" s="18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1"/>
    </row>
    <row r="187" spans="1:27" s="3" customFormat="1" ht="18" customHeight="1" thickBot="1" x14ac:dyDescent="0.4">
      <c r="A187" s="1"/>
      <c r="B187" s="1"/>
      <c r="C187" s="1"/>
      <c r="D187" s="1"/>
      <c r="E187" s="1"/>
      <c r="F187" s="1"/>
      <c r="G187" s="1"/>
      <c r="H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1"/>
    </row>
    <row r="188" spans="1:27" s="3" customFormat="1" ht="18" customHeight="1" thickBot="1" x14ac:dyDescent="0.4">
      <c r="A188" s="57" t="s">
        <v>386</v>
      </c>
      <c r="B188" s="1"/>
      <c r="C188" s="1"/>
      <c r="D188" s="1"/>
      <c r="E188" s="1"/>
      <c r="F188" s="1"/>
      <c r="G188" s="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1"/>
    </row>
    <row r="189" spans="1:27" s="3" customFormat="1" ht="18" customHeight="1" thickBot="1" x14ac:dyDescent="0.4">
      <c r="A189" s="6" t="s">
        <v>10</v>
      </c>
      <c r="B189" s="14" t="s">
        <v>11</v>
      </c>
      <c r="C189" s="14" t="s">
        <v>12</v>
      </c>
      <c r="D189" s="14" t="s">
        <v>13</v>
      </c>
      <c r="E189" s="14" t="s">
        <v>14</v>
      </c>
      <c r="F189" s="14" t="s">
        <v>15</v>
      </c>
      <c r="G189" s="14" t="s">
        <v>387</v>
      </c>
      <c r="I189" s="15" t="s">
        <v>16</v>
      </c>
      <c r="J189" s="16" t="s">
        <v>17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1"/>
    </row>
    <row r="190" spans="1:27" s="3" customFormat="1" ht="18" customHeight="1" x14ac:dyDescent="0.35">
      <c r="A190" s="17" t="s">
        <v>388</v>
      </c>
      <c r="B190" s="1" t="s">
        <v>389</v>
      </c>
      <c r="C190" s="37" t="s">
        <v>390</v>
      </c>
      <c r="D190" s="1" t="s">
        <v>391</v>
      </c>
      <c r="E190" s="19">
        <v>2060</v>
      </c>
      <c r="F190" s="19">
        <v>1802.5</v>
      </c>
      <c r="G190" s="19">
        <v>1287.5</v>
      </c>
      <c r="H190" s="58">
        <v>5150</v>
      </c>
      <c r="I190" s="48" t="s">
        <v>392</v>
      </c>
      <c r="J190" s="21" t="s">
        <v>393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1"/>
    </row>
    <row r="191" spans="1:27" s="3" customFormat="1" ht="18" customHeight="1" x14ac:dyDescent="0.35">
      <c r="A191" s="17" t="s">
        <v>394</v>
      </c>
      <c r="B191" s="1" t="s">
        <v>395</v>
      </c>
      <c r="C191" s="19">
        <v>1000</v>
      </c>
      <c r="D191" s="1" t="s">
        <v>396</v>
      </c>
      <c r="E191" s="19">
        <v>500</v>
      </c>
      <c r="F191" s="19">
        <v>250</v>
      </c>
      <c r="G191" s="19">
        <v>250</v>
      </c>
      <c r="H191" s="58">
        <v>1000</v>
      </c>
      <c r="I191" s="48" t="s">
        <v>108</v>
      </c>
      <c r="J191" s="21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1"/>
    </row>
    <row r="192" spans="1:27" s="3" customFormat="1" ht="18" customHeight="1" x14ac:dyDescent="0.35">
      <c r="A192" s="38" t="s">
        <v>397</v>
      </c>
      <c r="B192" s="1" t="s">
        <v>398</v>
      </c>
      <c r="C192" s="24" t="s">
        <v>399</v>
      </c>
      <c r="D192" s="1" t="s">
        <v>396</v>
      </c>
      <c r="E192" s="19">
        <v>845.1</v>
      </c>
      <c r="F192" s="19">
        <v>422.55</v>
      </c>
      <c r="G192" s="19">
        <v>422.55</v>
      </c>
      <c r="H192" s="58">
        <v>1690.2</v>
      </c>
      <c r="I192" s="48" t="s">
        <v>108</v>
      </c>
      <c r="J192" s="21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1"/>
    </row>
    <row r="193" spans="1:27" s="3" customFormat="1" ht="18" customHeight="1" x14ac:dyDescent="0.35">
      <c r="A193" s="17" t="s">
        <v>400</v>
      </c>
      <c r="B193" s="1" t="s">
        <v>401</v>
      </c>
      <c r="C193" s="24"/>
      <c r="D193" s="1" t="s">
        <v>396</v>
      </c>
      <c r="E193" s="24">
        <v>455</v>
      </c>
      <c r="F193" s="19">
        <v>227.5</v>
      </c>
      <c r="G193" s="19">
        <v>227.5</v>
      </c>
      <c r="H193" s="58">
        <v>910</v>
      </c>
      <c r="I193" s="48" t="s">
        <v>356</v>
      </c>
      <c r="J193" s="21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1"/>
    </row>
    <row r="194" spans="1:27" s="3" customFormat="1" ht="18" customHeight="1" x14ac:dyDescent="0.35">
      <c r="A194" s="17" t="s">
        <v>402</v>
      </c>
      <c r="B194" s="1" t="s">
        <v>403</v>
      </c>
      <c r="C194" s="1" t="s">
        <v>404</v>
      </c>
      <c r="D194" s="1" t="s">
        <v>396</v>
      </c>
      <c r="E194" s="18">
        <v>567.62</v>
      </c>
      <c r="F194" s="18">
        <v>283.81</v>
      </c>
      <c r="G194" s="18">
        <v>283.81</v>
      </c>
      <c r="H194" s="58">
        <v>1135.24</v>
      </c>
      <c r="I194" s="48" t="s">
        <v>186</v>
      </c>
      <c r="J194" s="21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1"/>
    </row>
    <row r="195" spans="1:27" s="3" customFormat="1" ht="18" customHeight="1" x14ac:dyDescent="0.35">
      <c r="A195" s="17" t="s">
        <v>405</v>
      </c>
      <c r="B195" s="1" t="s">
        <v>403</v>
      </c>
      <c r="C195" s="24" t="s">
        <v>404</v>
      </c>
      <c r="D195" s="1" t="s">
        <v>396</v>
      </c>
      <c r="E195" s="19">
        <v>759</v>
      </c>
      <c r="F195" s="19">
        <v>379.5</v>
      </c>
      <c r="G195" s="19">
        <v>379.5</v>
      </c>
      <c r="H195" s="58">
        <v>1518</v>
      </c>
      <c r="I195" s="48" t="s">
        <v>406</v>
      </c>
      <c r="J195" s="21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1"/>
    </row>
    <row r="196" spans="1:27" s="3" customFormat="1" ht="18" customHeight="1" x14ac:dyDescent="0.35">
      <c r="A196" s="17" t="s">
        <v>407</v>
      </c>
      <c r="B196" s="1" t="s">
        <v>408</v>
      </c>
      <c r="C196" s="37" t="s">
        <v>409</v>
      </c>
      <c r="D196" s="1" t="s">
        <v>391</v>
      </c>
      <c r="E196" s="19">
        <v>1500</v>
      </c>
      <c r="F196" s="19">
        <v>1312.5</v>
      </c>
      <c r="G196" s="19">
        <v>937.5</v>
      </c>
      <c r="H196" s="58">
        <v>3750</v>
      </c>
      <c r="I196" s="48" t="s">
        <v>410</v>
      </c>
      <c r="J196" s="21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1"/>
    </row>
    <row r="197" spans="1:27" s="3" customFormat="1" ht="18" customHeight="1" x14ac:dyDescent="0.35">
      <c r="A197" s="17" t="s">
        <v>411</v>
      </c>
      <c r="B197" s="1" t="s">
        <v>398</v>
      </c>
      <c r="C197" s="24">
        <v>7590</v>
      </c>
      <c r="D197" s="1" t="s">
        <v>396</v>
      </c>
      <c r="E197" s="18">
        <v>3795</v>
      </c>
      <c r="F197" s="18">
        <v>1897.5</v>
      </c>
      <c r="G197" s="18">
        <v>1897.5</v>
      </c>
      <c r="H197" s="58">
        <v>7590</v>
      </c>
      <c r="I197" s="48" t="s">
        <v>412</v>
      </c>
      <c r="J197" s="21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1"/>
    </row>
    <row r="198" spans="1:27" s="3" customFormat="1" ht="18" customHeight="1" x14ac:dyDescent="0.35">
      <c r="A198" s="17" t="s">
        <v>413</v>
      </c>
      <c r="B198" s="1" t="s">
        <v>389</v>
      </c>
      <c r="C198" s="24">
        <v>6072</v>
      </c>
      <c r="D198" s="1" t="s">
        <v>391</v>
      </c>
      <c r="E198" s="19">
        <v>2428.8000000000002</v>
      </c>
      <c r="F198" s="19">
        <v>2125.1999999999998</v>
      </c>
      <c r="G198" s="19">
        <v>1518</v>
      </c>
      <c r="H198" s="58">
        <v>6072</v>
      </c>
      <c r="I198" s="48" t="s">
        <v>410</v>
      </c>
      <c r="J198" s="21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1"/>
    </row>
    <row r="199" spans="1:27" s="3" customFormat="1" ht="18" customHeight="1" x14ac:dyDescent="0.35">
      <c r="A199" s="17" t="s">
        <v>414</v>
      </c>
      <c r="B199" s="1" t="s">
        <v>398</v>
      </c>
      <c r="C199" s="24">
        <v>500</v>
      </c>
      <c r="D199" s="1" t="s">
        <v>396</v>
      </c>
      <c r="E199" s="18">
        <v>250</v>
      </c>
      <c r="F199" s="18">
        <v>125</v>
      </c>
      <c r="G199" s="18">
        <v>125</v>
      </c>
      <c r="H199" s="58">
        <v>500</v>
      </c>
      <c r="I199" s="48" t="s">
        <v>266</v>
      </c>
      <c r="J199" s="21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1"/>
    </row>
    <row r="200" spans="1:27" s="3" customFormat="1" ht="18" customHeight="1" x14ac:dyDescent="0.35">
      <c r="A200" s="3" t="s">
        <v>415</v>
      </c>
      <c r="B200" s="3" t="s">
        <v>416</v>
      </c>
      <c r="C200" s="24">
        <v>1500</v>
      </c>
      <c r="D200" s="1" t="s">
        <v>391</v>
      </c>
      <c r="E200" s="26">
        <v>600</v>
      </c>
      <c r="F200" s="26">
        <v>525</v>
      </c>
      <c r="G200" s="26">
        <v>375</v>
      </c>
      <c r="H200" s="58">
        <v>1500</v>
      </c>
      <c r="I200" s="3" t="s">
        <v>308</v>
      </c>
      <c r="J200" s="21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1"/>
    </row>
    <row r="201" spans="1:27" s="3" customFormat="1" ht="18" customHeight="1" x14ac:dyDescent="0.35">
      <c r="C201" s="24"/>
      <c r="D201" s="1"/>
      <c r="E201" s="26"/>
      <c r="F201" s="26"/>
      <c r="G201" s="26"/>
      <c r="J201" s="21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1"/>
    </row>
    <row r="202" spans="1:27" s="3" customFormat="1" ht="18" customHeight="1" x14ac:dyDescent="0.35">
      <c r="C202" s="24"/>
      <c r="D202" s="1"/>
      <c r="E202" s="26"/>
      <c r="F202" s="26"/>
      <c r="G202" s="26"/>
      <c r="J202" s="21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1"/>
    </row>
    <row r="203" spans="1:27" s="3" customFormat="1" ht="18" customHeight="1" x14ac:dyDescent="0.35">
      <c r="D203" s="1"/>
      <c r="E203" s="26"/>
      <c r="F203" s="26"/>
      <c r="G203" s="26"/>
      <c r="J203" s="21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1"/>
    </row>
    <row r="204" spans="1:27" s="3" customFormat="1" ht="18" customHeight="1" x14ac:dyDescent="0.35">
      <c r="E204" s="26"/>
      <c r="F204" s="26"/>
      <c r="G204" s="26"/>
      <c r="J204" s="21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1"/>
    </row>
    <row r="205" spans="1:27" s="3" customFormat="1" ht="18" customHeight="1" thickBot="1" x14ac:dyDescent="0.4">
      <c r="A205" s="29" t="s">
        <v>311</v>
      </c>
      <c r="B205" s="30"/>
      <c r="C205" s="32"/>
      <c r="D205" s="30"/>
      <c r="E205" s="32">
        <f>SUM(E190:E204)</f>
        <v>13760.52</v>
      </c>
      <c r="F205" s="32">
        <f>SUM(F190:F204)</f>
        <v>9351.0600000000013</v>
      </c>
      <c r="G205" s="32">
        <f>SUM(G190:G204)</f>
        <v>7703.8600000000006</v>
      </c>
      <c r="I205" s="59"/>
      <c r="J205" s="35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1"/>
    </row>
    <row r="206" spans="1:27" s="3" customFormat="1" ht="18" customHeight="1" x14ac:dyDescent="0.35">
      <c r="A206" s="1"/>
      <c r="B206" s="1"/>
      <c r="C206" s="19"/>
      <c r="D206" s="1"/>
      <c r="E206" s="19"/>
      <c r="F206" s="19"/>
      <c r="G206" s="19"/>
      <c r="I206" s="48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1"/>
    </row>
    <row r="207" spans="1:27" s="3" customFormat="1" ht="18" customHeight="1" x14ac:dyDescent="0.35">
      <c r="A207" s="1"/>
      <c r="B207" s="1"/>
      <c r="C207" s="19"/>
      <c r="D207" s="1"/>
      <c r="E207" s="19"/>
      <c r="F207" s="19"/>
      <c r="G207" s="19"/>
      <c r="H207" s="19"/>
      <c r="I207" s="48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1"/>
    </row>
    <row r="208" spans="1:27" s="3" customFormat="1" ht="18" customHeight="1" thickBot="1" x14ac:dyDescent="0.4">
      <c r="A208" s="1"/>
      <c r="B208" s="1"/>
      <c r="C208" s="1"/>
      <c r="D208" s="1"/>
      <c r="E208" s="1"/>
      <c r="F208" s="1"/>
      <c r="G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1"/>
    </row>
    <row r="209" spans="1:27" s="3" customFormat="1" ht="18" customHeight="1" thickBot="1" x14ac:dyDescent="0.4">
      <c r="A209" s="13" t="s">
        <v>417</v>
      </c>
      <c r="B209" s="1"/>
      <c r="C209" s="1"/>
      <c r="D209" s="1"/>
      <c r="E209" s="1"/>
      <c r="F209" s="1"/>
      <c r="G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1"/>
    </row>
    <row r="210" spans="1:27" s="3" customFormat="1" ht="18" customHeight="1" thickBot="1" x14ac:dyDescent="0.4">
      <c r="A210" s="60" t="s">
        <v>10</v>
      </c>
      <c r="B210" s="61" t="s">
        <v>11</v>
      </c>
      <c r="C210" s="61" t="s">
        <v>12</v>
      </c>
      <c r="D210" s="61" t="s">
        <v>13</v>
      </c>
      <c r="E210" s="61" t="s">
        <v>14</v>
      </c>
      <c r="F210" s="61" t="s">
        <v>15</v>
      </c>
      <c r="G210" s="61" t="s">
        <v>418</v>
      </c>
      <c r="I210" s="62" t="s">
        <v>16</v>
      </c>
      <c r="J210" s="63" t="s">
        <v>17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1"/>
    </row>
    <row r="211" spans="1:27" s="3" customFormat="1" ht="18" customHeight="1" x14ac:dyDescent="0.35">
      <c r="A211" s="17" t="s">
        <v>419</v>
      </c>
      <c r="B211" s="1" t="s">
        <v>45</v>
      </c>
      <c r="C211" s="22">
        <v>450</v>
      </c>
      <c r="D211" s="1" t="s">
        <v>420</v>
      </c>
      <c r="E211" s="19">
        <v>162.5</v>
      </c>
      <c r="F211" s="19">
        <v>87.5</v>
      </c>
      <c r="G211" s="64">
        <v>200</v>
      </c>
      <c r="H211" s="58">
        <v>450</v>
      </c>
      <c r="I211" s="21" t="s">
        <v>189</v>
      </c>
      <c r="J211" s="49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1"/>
    </row>
    <row r="212" spans="1:27" s="3" customFormat="1" ht="18" customHeight="1" x14ac:dyDescent="0.35">
      <c r="A212" s="17" t="s">
        <v>421</v>
      </c>
      <c r="B212" s="1" t="s">
        <v>422</v>
      </c>
      <c r="C212" s="23">
        <v>500</v>
      </c>
      <c r="D212" s="1" t="s">
        <v>420</v>
      </c>
      <c r="E212" s="19">
        <v>195</v>
      </c>
      <c r="F212" s="19">
        <v>105</v>
      </c>
      <c r="G212" s="22">
        <v>200</v>
      </c>
      <c r="H212" s="58">
        <v>500</v>
      </c>
      <c r="I212" s="48"/>
      <c r="J212" s="49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1"/>
    </row>
    <row r="213" spans="1:27" s="3" customFormat="1" ht="20.25" customHeight="1" x14ac:dyDescent="0.35">
      <c r="A213" s="38" t="s">
        <v>74</v>
      </c>
      <c r="B213" s="1" t="s">
        <v>19</v>
      </c>
      <c r="C213" s="19" t="s">
        <v>423</v>
      </c>
      <c r="D213" s="1" t="s">
        <v>420</v>
      </c>
      <c r="E213" s="22">
        <v>475.36</v>
      </c>
      <c r="F213" s="26">
        <v>255.96</v>
      </c>
      <c r="G213" s="22">
        <v>487.55</v>
      </c>
      <c r="H213" s="58">
        <v>1218.8700000000001</v>
      </c>
      <c r="I213" s="48" t="s">
        <v>356</v>
      </c>
      <c r="J213" s="49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1"/>
    </row>
    <row r="214" spans="1:27" s="3" customFormat="1" ht="20.25" customHeight="1" x14ac:dyDescent="0.35">
      <c r="A214" s="38" t="s">
        <v>424</v>
      </c>
      <c r="B214" s="1" t="s">
        <v>425</v>
      </c>
      <c r="C214" s="1" t="s">
        <v>426</v>
      </c>
      <c r="D214" s="1" t="s">
        <v>420</v>
      </c>
      <c r="E214" s="22">
        <v>840</v>
      </c>
      <c r="F214" s="26">
        <v>678</v>
      </c>
      <c r="G214" s="22">
        <v>636</v>
      </c>
      <c r="H214" s="58">
        <v>2154</v>
      </c>
      <c r="I214" s="48" t="s">
        <v>427</v>
      </c>
      <c r="J214" s="49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1"/>
    </row>
    <row r="215" spans="1:27" s="3" customFormat="1" ht="20.25" customHeight="1" x14ac:dyDescent="0.35">
      <c r="A215" s="38" t="s">
        <v>428</v>
      </c>
      <c r="B215" s="1" t="s">
        <v>251</v>
      </c>
      <c r="C215" s="1" t="s">
        <v>429</v>
      </c>
      <c r="D215" s="1" t="s">
        <v>430</v>
      </c>
      <c r="E215" s="22">
        <v>613.33050000000003</v>
      </c>
      <c r="F215" s="22">
        <v>430.98900000000003</v>
      </c>
      <c r="G215" s="22">
        <v>613.33050000000003</v>
      </c>
      <c r="H215" s="58">
        <v>1657.65</v>
      </c>
      <c r="I215" s="48" t="s">
        <v>220</v>
      </c>
      <c r="J215" s="49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1"/>
    </row>
    <row r="216" spans="1:27" s="3" customFormat="1" ht="20.25" customHeight="1" x14ac:dyDescent="0.35">
      <c r="A216" s="38" t="s">
        <v>431</v>
      </c>
      <c r="B216" s="1" t="s">
        <v>251</v>
      </c>
      <c r="C216" s="24">
        <v>500</v>
      </c>
      <c r="D216" s="1" t="s">
        <v>420</v>
      </c>
      <c r="E216" s="22">
        <v>195</v>
      </c>
      <c r="F216" s="22">
        <v>105</v>
      </c>
      <c r="G216" s="22">
        <v>200</v>
      </c>
      <c r="H216" s="58">
        <v>500</v>
      </c>
      <c r="I216" s="48" t="s">
        <v>237</v>
      </c>
      <c r="J216" s="49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1"/>
    </row>
    <row r="217" spans="1:27" s="3" customFormat="1" ht="20.25" customHeight="1" x14ac:dyDescent="0.35">
      <c r="A217" s="38" t="s">
        <v>432</v>
      </c>
      <c r="B217" s="1" t="s">
        <v>433</v>
      </c>
      <c r="C217" s="24">
        <v>561.41</v>
      </c>
      <c r="D217" s="1" t="s">
        <v>430</v>
      </c>
      <c r="E217" s="22">
        <v>207.72</v>
      </c>
      <c r="F217" s="22">
        <v>145.97</v>
      </c>
      <c r="G217" s="22">
        <v>207.72</v>
      </c>
      <c r="H217" s="58">
        <v>561.41</v>
      </c>
      <c r="I217" s="48" t="s">
        <v>237</v>
      </c>
      <c r="J217" s="49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1"/>
    </row>
    <row r="218" spans="1:27" s="3" customFormat="1" ht="18" customHeight="1" x14ac:dyDescent="0.35">
      <c r="A218" s="38"/>
      <c r="B218" s="1"/>
      <c r="C218" s="1"/>
      <c r="D218" s="1"/>
      <c r="E218" s="22"/>
      <c r="F218" s="22"/>
      <c r="G218" s="22"/>
      <c r="H218" s="58"/>
      <c r="I218" s="48"/>
      <c r="J218" s="49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1"/>
    </row>
    <row r="219" spans="1:27" s="3" customFormat="1" ht="18" customHeight="1" x14ac:dyDescent="0.35">
      <c r="A219" s="38"/>
      <c r="B219" s="1"/>
      <c r="C219" s="1"/>
      <c r="D219" s="1"/>
      <c r="E219" s="22"/>
      <c r="F219" s="22"/>
      <c r="G219" s="22"/>
      <c r="H219" s="58"/>
      <c r="I219" s="48"/>
      <c r="J219" s="49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1"/>
    </row>
    <row r="220" spans="1:27" s="3" customFormat="1" ht="18" customHeight="1" thickBot="1" x14ac:dyDescent="0.4">
      <c r="A220" s="52" t="s">
        <v>311</v>
      </c>
      <c r="B220" s="41"/>
      <c r="C220" s="41"/>
      <c r="D220" s="41"/>
      <c r="E220" s="65">
        <f>SUM(E211:E219)</f>
        <v>2688.9105</v>
      </c>
      <c r="F220" s="65">
        <f>SUM(F211:F219)</f>
        <v>1808.4190000000001</v>
      </c>
      <c r="G220" s="65">
        <f>SUM(G211:G219)</f>
        <v>2544.6005</v>
      </c>
      <c r="H220" s="58">
        <f t="shared" ref="H220" si="1">SUM(E220:G220)</f>
        <v>7041.93</v>
      </c>
      <c r="I220" s="55"/>
      <c r="J220" s="56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1"/>
    </row>
    <row r="221" spans="1:27" s="3" customFormat="1" ht="18" customHeight="1" x14ac:dyDescent="0.35">
      <c r="A221" s="1"/>
      <c r="B221" s="1"/>
      <c r="C221" s="1"/>
      <c r="D221" s="1"/>
      <c r="E221" s="18"/>
      <c r="F221" s="18"/>
      <c r="G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1"/>
    </row>
    <row r="222" spans="1:27" s="3" customFormat="1" ht="18" customHeight="1" x14ac:dyDescent="0.35">
      <c r="A222" s="1"/>
      <c r="B222" s="1"/>
      <c r="C222" s="1"/>
      <c r="D222" s="1"/>
      <c r="E222" s="1"/>
      <c r="F222" s="1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1"/>
    </row>
    <row r="223" spans="1:27" s="3" customFormat="1" ht="18" customHeight="1" thickBot="1" x14ac:dyDescent="0.4">
      <c r="A223" s="1"/>
      <c r="B223" s="1"/>
      <c r="C223" s="1"/>
      <c r="D223" s="1"/>
      <c r="E223" s="1"/>
      <c r="F223" s="1"/>
      <c r="G223" s="1"/>
      <c r="H223" s="1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1"/>
    </row>
    <row r="224" spans="1:27" s="3" customFormat="1" ht="18" customHeight="1" thickBot="1" x14ac:dyDescent="0.4">
      <c r="A224" s="13" t="s">
        <v>434</v>
      </c>
      <c r="B224" s="1"/>
      <c r="C224" s="1"/>
      <c r="D224" s="1"/>
      <c r="E224" s="1"/>
      <c r="F224" s="1"/>
      <c r="G224" s="1"/>
      <c r="H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1"/>
    </row>
    <row r="225" spans="1:26" s="3" customFormat="1" ht="18" customHeight="1" thickBot="1" x14ac:dyDescent="0.4">
      <c r="A225" s="60" t="s">
        <v>10</v>
      </c>
      <c r="B225" s="61" t="s">
        <v>11</v>
      </c>
      <c r="C225" s="61" t="s">
        <v>12</v>
      </c>
      <c r="D225" s="61" t="s">
        <v>13</v>
      </c>
      <c r="E225" s="61" t="s">
        <v>14</v>
      </c>
      <c r="F225" s="61" t="s">
        <v>15</v>
      </c>
      <c r="G225" s="66" t="s">
        <v>387</v>
      </c>
      <c r="H225" s="61" t="s">
        <v>418</v>
      </c>
      <c r="J225" s="62" t="s">
        <v>16</v>
      </c>
      <c r="K225" s="63" t="s">
        <v>17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1"/>
    </row>
    <row r="226" spans="1:26" s="3" customFormat="1" ht="18" customHeight="1" x14ac:dyDescent="0.35">
      <c r="A226" s="17" t="s">
        <v>51</v>
      </c>
      <c r="B226" s="67" t="s">
        <v>435</v>
      </c>
      <c r="C226" s="68">
        <v>4000</v>
      </c>
      <c r="D226" s="1" t="s">
        <v>436</v>
      </c>
      <c r="E226" s="19">
        <v>975</v>
      </c>
      <c r="F226" s="19">
        <v>525</v>
      </c>
      <c r="G226" s="69"/>
      <c r="H226" s="70"/>
      <c r="I226" s="58">
        <v>1500</v>
      </c>
      <c r="J226" s="71" t="s">
        <v>437</v>
      </c>
      <c r="K226" s="72" t="s">
        <v>438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1"/>
    </row>
    <row r="227" spans="1:26" s="3" customFormat="1" ht="18" customHeight="1" x14ac:dyDescent="0.35">
      <c r="A227" s="38" t="s">
        <v>439</v>
      </c>
      <c r="B227" s="1" t="s">
        <v>440</v>
      </c>
      <c r="C227" s="19" t="s">
        <v>441</v>
      </c>
      <c r="D227" s="1" t="s">
        <v>442</v>
      </c>
      <c r="E227" s="19">
        <v>3000</v>
      </c>
      <c r="F227" s="19">
        <v>1200</v>
      </c>
      <c r="G227" s="26">
        <v>1800</v>
      </c>
      <c r="H227" s="22">
        <v>6000</v>
      </c>
      <c r="I227" s="58">
        <v>12000</v>
      </c>
      <c r="J227" s="48" t="s">
        <v>443</v>
      </c>
      <c r="K227" s="49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1"/>
    </row>
    <row r="228" spans="1:26" s="3" customFormat="1" ht="18" customHeight="1" x14ac:dyDescent="0.35">
      <c r="A228" s="3" t="s">
        <v>444</v>
      </c>
      <c r="B228" s="3" t="s">
        <v>60</v>
      </c>
      <c r="C228" s="73">
        <v>0.3</v>
      </c>
      <c r="D228" s="1" t="s">
        <v>445</v>
      </c>
      <c r="E228" s="19">
        <v>375.71</v>
      </c>
      <c r="F228" s="19">
        <v>239.09</v>
      </c>
      <c r="G228" s="26">
        <v>68.31</v>
      </c>
      <c r="H228" s="22"/>
      <c r="I228" s="58">
        <v>683.1099999999999</v>
      </c>
      <c r="J228" s="48"/>
      <c r="K228" s="49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1"/>
    </row>
    <row r="229" spans="1:26" s="3" customFormat="1" ht="18" customHeight="1" x14ac:dyDescent="0.35">
      <c r="A229" s="38" t="s">
        <v>446</v>
      </c>
      <c r="B229" s="1" t="s">
        <v>167</v>
      </c>
      <c r="C229" s="19"/>
      <c r="D229" s="1" t="s">
        <v>447</v>
      </c>
      <c r="E229" s="19">
        <v>220</v>
      </c>
      <c r="F229" s="19">
        <v>125</v>
      </c>
      <c r="G229" s="26">
        <v>155</v>
      </c>
      <c r="H229" s="22"/>
      <c r="I229" s="58">
        <v>500</v>
      </c>
      <c r="J229" s="48"/>
      <c r="K229" s="49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1"/>
    </row>
    <row r="230" spans="1:26" s="3" customFormat="1" ht="18" customHeight="1" x14ac:dyDescent="0.35">
      <c r="A230" s="38" t="s">
        <v>448</v>
      </c>
      <c r="B230" s="1" t="s">
        <v>449</v>
      </c>
      <c r="C230" s="19">
        <v>3000</v>
      </c>
      <c r="D230" s="1" t="s">
        <v>450</v>
      </c>
      <c r="E230" s="19">
        <v>0</v>
      </c>
      <c r="F230" s="19">
        <v>300</v>
      </c>
      <c r="G230" s="26">
        <v>0</v>
      </c>
      <c r="H230" s="22"/>
      <c r="I230" s="58">
        <v>300</v>
      </c>
      <c r="J230" s="48"/>
      <c r="K230" s="49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1"/>
    </row>
    <row r="231" spans="1:26" s="3" customFormat="1" ht="18" customHeight="1" x14ac:dyDescent="0.35">
      <c r="A231" s="17" t="s">
        <v>451</v>
      </c>
      <c r="B231" s="1" t="s">
        <v>452</v>
      </c>
      <c r="C231" s="74">
        <v>375</v>
      </c>
      <c r="D231" s="1" t="s">
        <v>453</v>
      </c>
      <c r="E231" s="19">
        <v>243.75</v>
      </c>
      <c r="F231" s="19">
        <v>131.25</v>
      </c>
      <c r="G231" s="20"/>
      <c r="H231" s="64"/>
      <c r="I231" s="58">
        <v>375</v>
      </c>
      <c r="J231" s="21" t="s">
        <v>189</v>
      </c>
      <c r="K231" s="49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1"/>
    </row>
    <row r="232" spans="1:26" s="3" customFormat="1" ht="18" customHeight="1" x14ac:dyDescent="0.35">
      <c r="A232" s="17" t="s">
        <v>444</v>
      </c>
      <c r="B232" s="1" t="s">
        <v>454</v>
      </c>
      <c r="C232" s="74">
        <v>3500</v>
      </c>
      <c r="D232" s="1" t="s">
        <v>445</v>
      </c>
      <c r="E232" s="19">
        <v>1397.5</v>
      </c>
      <c r="F232" s="19">
        <v>752.5</v>
      </c>
      <c r="G232" s="37">
        <v>350</v>
      </c>
      <c r="H232" s="64"/>
      <c r="I232" s="58">
        <v>2500</v>
      </c>
      <c r="J232" s="2" t="s">
        <v>455</v>
      </c>
      <c r="K232" s="49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1"/>
    </row>
    <row r="233" spans="1:26" s="3" customFormat="1" ht="18" customHeight="1" x14ac:dyDescent="0.35">
      <c r="A233" s="1" t="s">
        <v>456</v>
      </c>
      <c r="B233" s="1" t="s">
        <v>457</v>
      </c>
      <c r="C233" s="74">
        <v>250</v>
      </c>
      <c r="D233" s="1" t="s">
        <v>445</v>
      </c>
      <c r="E233" s="19">
        <v>137.5</v>
      </c>
      <c r="F233" s="19">
        <v>87.5</v>
      </c>
      <c r="G233" s="22">
        <v>25</v>
      </c>
      <c r="H233" s="64"/>
      <c r="I233" s="58">
        <v>250</v>
      </c>
      <c r="J233" s="2" t="s">
        <v>237</v>
      </c>
      <c r="K233" s="49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1"/>
    </row>
    <row r="234" spans="1:26" s="3" customFormat="1" ht="18" customHeight="1" x14ac:dyDescent="0.35">
      <c r="A234" s="17" t="s">
        <v>451</v>
      </c>
      <c r="B234" s="1" t="s">
        <v>452</v>
      </c>
      <c r="C234" s="74">
        <v>200</v>
      </c>
      <c r="D234" s="1" t="s">
        <v>453</v>
      </c>
      <c r="E234" s="19">
        <v>130</v>
      </c>
      <c r="F234" s="19">
        <v>70</v>
      </c>
      <c r="G234" s="20"/>
      <c r="H234" s="64"/>
      <c r="I234" s="58">
        <v>200</v>
      </c>
      <c r="J234" s="2"/>
      <c r="K234" s="49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1"/>
    </row>
    <row r="235" spans="1:26" s="3" customFormat="1" ht="18" customHeight="1" x14ac:dyDescent="0.35">
      <c r="A235" s="1" t="s">
        <v>458</v>
      </c>
      <c r="B235" s="1" t="s">
        <v>163</v>
      </c>
      <c r="C235" s="74">
        <v>2000</v>
      </c>
      <c r="D235" s="1" t="s">
        <v>459</v>
      </c>
      <c r="E235" s="19">
        <v>700</v>
      </c>
      <c r="F235" s="19">
        <v>500</v>
      </c>
      <c r="G235" s="20"/>
      <c r="H235" s="64">
        <v>800</v>
      </c>
      <c r="I235" s="58">
        <v>2000</v>
      </c>
      <c r="J235" s="2" t="s">
        <v>266</v>
      </c>
      <c r="K235" s="49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1"/>
    </row>
    <row r="236" spans="1:26" s="3" customFormat="1" ht="18" customHeight="1" x14ac:dyDescent="0.35">
      <c r="A236" s="1" t="s">
        <v>460</v>
      </c>
      <c r="B236" s="1" t="s">
        <v>461</v>
      </c>
      <c r="C236" s="74">
        <v>610</v>
      </c>
      <c r="D236" s="1" t="s">
        <v>445</v>
      </c>
      <c r="E236" s="19">
        <v>335.5</v>
      </c>
      <c r="F236" s="19">
        <v>213.5</v>
      </c>
      <c r="G236" s="22">
        <v>60</v>
      </c>
      <c r="H236" s="64"/>
      <c r="I236" s="58">
        <v>609</v>
      </c>
      <c r="J236" s="2" t="s">
        <v>368</v>
      </c>
      <c r="K236" s="49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1"/>
    </row>
    <row r="237" spans="1:26" s="3" customFormat="1" ht="18" customHeight="1" x14ac:dyDescent="0.35">
      <c r="A237" s="1" t="s">
        <v>462</v>
      </c>
      <c r="B237" s="1" t="s">
        <v>463</v>
      </c>
      <c r="C237" s="74" t="s">
        <v>464</v>
      </c>
      <c r="D237" s="1" t="s">
        <v>445</v>
      </c>
      <c r="E237" s="19">
        <v>15950</v>
      </c>
      <c r="F237" s="19">
        <v>10150</v>
      </c>
      <c r="G237" s="22">
        <v>2900</v>
      </c>
      <c r="H237" s="64"/>
      <c r="I237" s="58">
        <v>29000</v>
      </c>
      <c r="J237" s="2" t="s">
        <v>368</v>
      </c>
      <c r="K237" s="49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1"/>
    </row>
    <row r="238" spans="1:26" s="3" customFormat="1" ht="18" customHeight="1" x14ac:dyDescent="0.35">
      <c r="A238" s="38" t="s">
        <v>465</v>
      </c>
      <c r="B238" s="1" t="s">
        <v>163</v>
      </c>
      <c r="C238" s="1" t="s">
        <v>466</v>
      </c>
      <c r="D238" s="1" t="s">
        <v>467</v>
      </c>
      <c r="E238" s="18">
        <v>4694.33</v>
      </c>
      <c r="F238" s="18">
        <v>2527.7199999999998</v>
      </c>
      <c r="G238" s="26"/>
      <c r="H238" s="18">
        <v>7222.05</v>
      </c>
      <c r="I238" s="58">
        <v>14444.099999999999</v>
      </c>
      <c r="J238" s="48"/>
      <c r="K238" s="49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1"/>
    </row>
    <row r="239" spans="1:26" s="3" customFormat="1" ht="18" customHeight="1" x14ac:dyDescent="0.35">
      <c r="A239" s="38"/>
      <c r="B239" s="1"/>
      <c r="C239" s="1"/>
      <c r="D239" s="1"/>
      <c r="E239" s="18"/>
      <c r="F239" s="18"/>
      <c r="G239" s="26"/>
      <c r="H239" s="18"/>
      <c r="I239" s="58"/>
      <c r="J239" s="48"/>
      <c r="K239" s="49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1"/>
    </row>
    <row r="240" spans="1:26" s="3" customFormat="1" ht="18" customHeight="1" thickBot="1" x14ac:dyDescent="0.4">
      <c r="A240" s="52" t="s">
        <v>311</v>
      </c>
      <c r="B240" s="41"/>
      <c r="C240" s="41"/>
      <c r="D240" s="41"/>
      <c r="E240" s="53">
        <f>SUM(E226:E238)</f>
        <v>28159.29</v>
      </c>
      <c r="F240" s="53">
        <f>SUM(F226:F238)</f>
        <v>16821.560000000001</v>
      </c>
      <c r="G240" s="75"/>
      <c r="H240" s="53">
        <f>SUM(H226:H238)</f>
        <v>14022.05</v>
      </c>
      <c r="I240" s="58">
        <f t="shared" ref="I240" si="2">SUM(E240:H240)</f>
        <v>59002.900000000009</v>
      </c>
      <c r="J240" s="55"/>
      <c r="K240" s="56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1"/>
    </row>
    <row r="241" spans="1:26" s="3" customFormat="1" ht="18" customHeight="1" x14ac:dyDescent="0.35">
      <c r="A241" s="1"/>
      <c r="B241" s="1"/>
      <c r="C241" s="1"/>
      <c r="D241" s="1"/>
      <c r="E241" s="1"/>
      <c r="F241" s="1"/>
      <c r="G241" s="1"/>
      <c r="H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Santana</dc:creator>
  <cp:lastModifiedBy>Mateus Santana</cp:lastModifiedBy>
  <dcterms:created xsi:type="dcterms:W3CDTF">2026-09-14T23:59:41Z</dcterms:created>
  <dcterms:modified xsi:type="dcterms:W3CDTF">2026-09-15T00:03:58Z</dcterms:modified>
</cp:coreProperties>
</file>